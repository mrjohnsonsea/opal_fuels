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ker\Documents\Projects\FINC6580\assignment_2\"/>
    </mc:Choice>
  </mc:AlternateContent>
  <xr:revisionPtr revIDLastSave="0" documentId="13_ncr:1_{A2117060-CA8F-484F-9D78-A3857A2961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CF" sheetId="4" r:id="rId1"/>
    <sheet name="Income Statement" sheetId="1" r:id="rId2"/>
    <sheet name="Cash Flow" sheetId="2" r:id="rId3"/>
    <sheet name="Balance Sheet" sheetId="3" r:id="rId4"/>
  </sheets>
  <definedNames>
    <definedName name="_xlnm._FilterDatabase" localSheetId="3" hidden="1">'Balance Sheet'!$A$1:$D$471</definedName>
    <definedName name="_xlnm._FilterDatabase" localSheetId="1" hidden="1">'Income Statement'!$A$1:$D$281</definedName>
  </definedNames>
  <calcPr calcId="191029" iterate="1" iterateCount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4" l="1"/>
  <c r="J44" i="4"/>
  <c r="I44" i="4"/>
  <c r="H44" i="4"/>
  <c r="G44" i="4"/>
  <c r="F42" i="4"/>
  <c r="E42" i="4"/>
  <c r="D42" i="4"/>
  <c r="C42" i="4"/>
  <c r="F41" i="4"/>
  <c r="E41" i="4"/>
  <c r="D41" i="4"/>
  <c r="C41" i="4"/>
  <c r="F40" i="4"/>
  <c r="E40" i="4"/>
  <c r="D40" i="4"/>
  <c r="C40" i="4"/>
  <c r="F37" i="4"/>
  <c r="E37" i="4"/>
  <c r="D37" i="4"/>
  <c r="C37" i="4"/>
  <c r="F36" i="4"/>
  <c r="E36" i="4"/>
  <c r="D36" i="4"/>
  <c r="C36" i="4"/>
  <c r="K49" i="4"/>
  <c r="J49" i="4"/>
  <c r="I49" i="4"/>
  <c r="H49" i="4"/>
  <c r="G49" i="4"/>
  <c r="D49" i="4"/>
  <c r="K28" i="4"/>
  <c r="K31" i="4" s="1"/>
  <c r="J28" i="4"/>
  <c r="J31" i="4" s="1"/>
  <c r="I28" i="4"/>
  <c r="I31" i="4" s="1"/>
  <c r="H28" i="4"/>
  <c r="H31" i="4" s="1"/>
  <c r="C14" i="4" l="1"/>
  <c r="D14" i="4" s="1"/>
  <c r="J47" i="4"/>
  <c r="H47" i="4"/>
  <c r="H52" i="4" s="1"/>
  <c r="K47" i="4"/>
  <c r="I47" i="4"/>
  <c r="E44" i="4"/>
  <c r="F44" i="4"/>
  <c r="C44" i="4"/>
  <c r="D44" i="4"/>
  <c r="F47" i="4" l="1"/>
  <c r="D47" i="4"/>
  <c r="E47" i="4"/>
  <c r="G47" i="4"/>
  <c r="G28" i="4" l="1"/>
  <c r="K52" i="4"/>
  <c r="C13" i="4" s="1"/>
  <c r="D13" i="4" s="1"/>
  <c r="J52" i="4"/>
  <c r="I52" i="4"/>
  <c r="K26" i="4"/>
  <c r="J26" i="4"/>
  <c r="I26" i="4"/>
  <c r="H26" i="4"/>
  <c r="F49" i="4"/>
  <c r="E49" i="4"/>
  <c r="C49" i="4"/>
  <c r="F31" i="4"/>
  <c r="E31" i="4"/>
  <c r="D31" i="4"/>
  <c r="C31" i="4"/>
  <c r="C28" i="4"/>
  <c r="G23" i="4"/>
  <c r="H23" i="4" s="1"/>
  <c r="I23" i="4" s="1"/>
  <c r="J23" i="4" s="1"/>
  <c r="K23" i="4" s="1"/>
  <c r="F25" i="4"/>
  <c r="E25" i="4"/>
  <c r="E45" i="4" s="1"/>
  <c r="D25" i="4"/>
  <c r="C25" i="4"/>
  <c r="C45" i="4" s="1"/>
  <c r="G31" i="4" l="1"/>
  <c r="G52" i="4" s="1"/>
  <c r="C18" i="4" s="1"/>
  <c r="D18" i="4" s="1"/>
  <c r="F50" i="4"/>
  <c r="G26" i="4"/>
  <c r="F45" i="4"/>
  <c r="D50" i="4"/>
  <c r="D45" i="4"/>
  <c r="C50" i="4"/>
  <c r="E50" i="4"/>
  <c r="F52" i="4"/>
  <c r="C52" i="4"/>
  <c r="D52" i="4"/>
  <c r="D26" i="4"/>
  <c r="E52" i="4"/>
  <c r="C32" i="4"/>
  <c r="D32" i="4"/>
  <c r="E32" i="4"/>
  <c r="F32" i="4"/>
  <c r="F26" i="4"/>
  <c r="D29" i="4"/>
  <c r="E26" i="4"/>
  <c r="C29" i="4"/>
  <c r="E29" i="4"/>
  <c r="F29" i="4"/>
  <c r="C17" i="4" l="1"/>
  <c r="D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 Johnson</author>
  </authors>
  <commentList>
    <comment ref="C9" authorId="0" shapeId="0" xr:uid="{D21F6942-AA46-4489-92BE-9BA804CFF558}">
      <text>
        <r>
          <rPr>
            <b/>
            <sz val="9"/>
            <color indexed="81"/>
            <rFont val="Tahoma"/>
            <family val="2"/>
          </rPr>
          <t>Mike Johnson:</t>
        </r>
        <r>
          <rPr>
            <sz val="9"/>
            <color indexed="81"/>
            <rFont val="Tahoma"/>
            <family val="2"/>
          </rPr>
          <t xml:space="preserve">
As of Nov 14.</t>
        </r>
      </text>
    </comment>
  </commentList>
</comments>
</file>

<file path=xl/sharedStrings.xml><?xml version="1.0" encoding="utf-8"?>
<sst xmlns="http://schemas.openxmlformats.org/spreadsheetml/2006/main" count="1199" uniqueCount="261">
  <si>
    <t>measure</t>
  </si>
  <si>
    <t>year</t>
  </si>
  <si>
    <t>value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</si>
  <si>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</si>
  <si>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</si>
  <si>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</si>
  <si>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</si>
  <si>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</si>
  <si>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</si>
  <si>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</si>
  <si>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</si>
  <si>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</si>
  <si>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</si>
  <si>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</si>
  <si>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</si>
  <si>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</si>
  <si>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</si>
  <si>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</si>
  <si>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</si>
  <si>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</si>
  <si>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</si>
  <si>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</si>
  <si>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</si>
  <si>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</si>
  <si>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</si>
  <si>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</si>
  <si>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Preferred Stock Dividends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</si>
  <si>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</si>
  <si>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</si>
  <si>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</si>
  <si>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</si>
  <si>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</si>
  <si>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</si>
  <si>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</si>
  <si>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</si>
  <si>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</si>
  <si>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Gain On Sale Of Ppe</t>
  </si>
  <si>
    <t>Gain On Sale Of Business</t>
  </si>
  <si>
    <t>Other Special Charges</t>
  </si>
  <si>
    <t>Write Off</t>
  </si>
  <si>
    <t>Impairment Of Capital Assets</t>
  </si>
  <si>
    <t>Restructuring And Mergern Acquisition</t>
  </si>
  <si>
    <t>Earnings From Equity Interest</t>
  </si>
  <si>
    <t>Gain On Sale Of Security</t>
  </si>
  <si>
    <t>Net Non Operating Interest Income Expense</t>
  </si>
  <si>
    <t>Total Other Finance Cost</t>
  </si>
  <si>
    <t>Interest Expense Non Operating</t>
  </si>
  <si>
    <t>Interest Income Non Operating</t>
  </si>
  <si>
    <t>Operating Income</t>
  </si>
  <si>
    <t>Operating Expense</t>
  </si>
  <si>
    <t>Other Operating Expenses</t>
  </si>
  <si>
    <t>Depreciation Amortization Depletion Income Statement</t>
  </si>
  <si>
    <t>Depreciation And Amortization In Income Statement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</si>
  <si>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</si>
  <si>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</si>
  <si>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</si>
  <si>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</si>
  <si>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</si>
  <si>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</si>
  <si>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</si>
  <si>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</si>
  <si>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</si>
  <si>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</si>
  <si>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</si>
  <si>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</si>
  <si>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</si>
  <si>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</si>
  <si>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</si>
  <si>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</si>
  <si>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Changes In Cash</t>
  </si>
  <si>
    <t>Financing Cash Flow</t>
  </si>
  <si>
    <t>Cash Flow From Continuing Financing Activities</t>
  </si>
  <si>
    <t>Net Other Financing Charges</t>
  </si>
  <si>
    <t>Interest Paid Cff</t>
  </si>
  <si>
    <t>Proceeds From Stock Option Exercised</t>
  </si>
  <si>
    <t>Cash Dividends Paid</t>
  </si>
  <si>
    <t>Preferred Stock Dividend Paid</t>
  </si>
  <si>
    <t>Common Stock Dividend Paid</t>
  </si>
  <si>
    <t>Net Preferred Stock Issuance</t>
  </si>
  <si>
    <t>Preferred Stock Issuance</t>
  </si>
  <si>
    <t>Net Common Stock Issuance</t>
  </si>
  <si>
    <t>Common Stock Payments</t>
  </si>
  <si>
    <t>Common Stock Issuance</t>
  </si>
  <si>
    <t>Net Issuance Payments Of Debt</t>
  </si>
  <si>
    <t>Net Short Term Debt Issuance</t>
  </si>
  <si>
    <t>Short Term Debt Payments</t>
  </si>
  <si>
    <t>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</si>
  <si>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</si>
  <si>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</si>
  <si>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</si>
  <si>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</si>
  <si>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</si>
  <si>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</si>
  <si>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Interest Received Cfi</t>
  </si>
  <si>
    <t>Dividends Received Cfi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</si>
  <si>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</si>
  <si>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</si>
  <si>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</si>
  <si>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</si>
  <si>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</si>
  <si>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</si>
  <si>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Intangibles Purchase And Sale</t>
  </si>
  <si>
    <t>Purchase Of Intangibles</t>
  </si>
  <si>
    <t>Net PPE Purchase And Sale</t>
  </si>
  <si>
    <t>Sale Of PPE</t>
  </si>
  <si>
    <t>Purchase Of PPE</t>
  </si>
  <si>
    <t>Operating Cash Flow</t>
  </si>
  <si>
    <t>Cash Flow From Continuing Operating Activities</t>
  </si>
  <si>
    <t>Dividend Received Cfo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</si>
  <si>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</si>
  <si>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</si>
  <si>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</si>
  <si>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</si>
  <si>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</si>
  <si>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Accrued Expense</t>
  </si>
  <si>
    <t>Change In Payable</t>
  </si>
  <si>
    <t>Change In Account Payable</t>
  </si>
  <si>
    <t>Change In Tax Payable</t>
  </si>
  <si>
    <t>Change In Income Tax Payable</t>
  </si>
  <si>
    <t>Change In Prepaid Assets</t>
  </si>
  <si>
    <t>Change In Inventory</t>
  </si>
  <si>
    <t>Change In Receivables</t>
  </si>
  <si>
    <t>Changes In Account Receivables</t>
  </si>
  <si>
    <t>Other Non Cash Items</t>
  </si>
  <si>
    <t>Stock Based Compensation</t>
  </si>
  <si>
    <t>Unrealized Gain Loss On Investment Securities</t>
  </si>
  <si>
    <t>Provisionand Write Offof Assets</t>
  </si>
  <si>
    <t>Asset Impairment Charge</t>
  </si>
  <si>
    <t>Depreciation Amortization Depletion</t>
  </si>
  <si>
    <t>Depreciation And Amortization</t>
  </si>
  <si>
    <t>Depreciation</t>
  </si>
  <si>
    <t>Operating Gains Losses</t>
  </si>
  <si>
    <t>Earnings Losses From Equity Investments</t>
  </si>
  <si>
    <t>Gain Loss On Investment Securities</t>
  </si>
  <si>
    <t>Gain Loss On Sale Of PPE</t>
  </si>
  <si>
    <t>Gain Loss On Sale Of Business</t>
  </si>
  <si>
    <t>Net Income From Continuing Operations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</si>
  <si>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</si>
  <si>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</si>
  <si>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</si>
  <si>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</si>
  <si>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</si>
  <si>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</si>
  <si>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</si>
  <si>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</si>
  <si>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</si>
  <si>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</si>
  <si>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</si>
  <si>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Preferred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</si>
  <si>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</si>
  <si>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</si>
  <si>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</si>
  <si>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</si>
  <si>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</si>
  <si>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</si>
  <si>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Treasury Stock</t>
  </si>
  <si>
    <t>Retained Earnings</t>
  </si>
  <si>
    <t>Additional Paid In Capital</t>
  </si>
  <si>
    <t>Capital Stock</t>
  </si>
  <si>
    <t>Common Stock</t>
  </si>
  <si>
    <t>Preferred Stock</t>
  </si>
  <si>
    <t>Total Partnership Capital</t>
  </si>
  <si>
    <t>Limited Partnership Capital</t>
  </si>
  <si>
    <t>Total Liabilities Net Minority Interest</t>
  </si>
  <si>
    <t>Total Non Current Liabilities Net Minority Interest</t>
  </si>
  <si>
    <t>Other Non Current Liabilities</t>
  </si>
  <si>
    <t>Preferred Securities Outside Stock Equity</t>
  </si>
  <si>
    <t>Derivative Product Liabilities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</si>
  <si>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</si>
  <si>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</si>
  <si>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</si>
  <si>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</si>
  <si>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</si>
  <si>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</si>
  <si>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</si>
  <si>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</si>
  <si>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</si>
  <si>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</si>
  <si>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</si>
  <si>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</si>
  <si>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Line Of Credit</t>
  </si>
  <si>
    <t>Current Provisions</t>
  </si>
  <si>
    <t>Payables And Accrued Expenses</t>
  </si>
  <si>
    <t>Current Accrued Expenses</t>
  </si>
  <si>
    <t>Payables</t>
  </si>
  <si>
    <t>Dueto Related Parties Current</t>
  </si>
  <si>
    <t>Total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</si>
  <si>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</si>
  <si>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</si>
  <si>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</si>
  <si>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</si>
  <si>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</si>
  <si>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Note Receivables</t>
  </si>
  <si>
    <t>Financial Assets</t>
  </si>
  <si>
    <t>Investments And Advances</t>
  </si>
  <si>
    <t>Long Term Equity Investment</t>
  </si>
  <si>
    <t>Investments In Other Ventures Under Equity Method</t>
  </si>
  <si>
    <t>Investmentsin Associatesat Cost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</si>
  <si>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</si>
  <si>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</si>
  <si>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</si>
  <si>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</si>
  <si>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</si>
  <si>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</si>
  <si>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</si>
  <si>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</si>
  <si>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</si>
  <si>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</si>
  <si>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</si>
  <si>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</si>
  <si>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</si>
  <si>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</si>
  <si>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</si>
  <si>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Hedging Assets Current</t>
  </si>
  <si>
    <t>Assets Held For Sale Current</t>
  </si>
  <si>
    <t>Restricted Cash</t>
  </si>
  <si>
    <t>Prepaid Assets</t>
  </si>
  <si>
    <t>Inventory</t>
  </si>
  <si>
    <t>Other Inventories</t>
  </si>
  <si>
    <t>Raw Materials</t>
  </si>
  <si>
    <t>Receivables</t>
  </si>
  <si>
    <t>Other Receivables</t>
  </si>
  <si>
    <t>Duefrom Related Parties Current</t>
  </si>
  <si>
    <t>Taxes Receivable</t>
  </si>
  <si>
    <t>Notes Receivable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</si>
  <si>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</si>
  <si>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</si>
  <si>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</si>
  <si>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</si>
  <si>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</si>
  <si>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</si>
  <si>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OPAL Fuels</t>
  </si>
  <si>
    <t>DCF Model</t>
  </si>
  <si>
    <t>Tax Rate %</t>
  </si>
  <si>
    <t>Change in NWC</t>
  </si>
  <si>
    <t>UFCF</t>
  </si>
  <si>
    <t>ACTUAL</t>
  </si>
  <si>
    <t>FORECAST</t>
  </si>
  <si>
    <t>% of Revenue</t>
  </si>
  <si>
    <t>Notes</t>
  </si>
  <si>
    <t>25 - 27: Ongoing projects. 28 - 29 Winddown</t>
  </si>
  <si>
    <t>Net working Capital</t>
  </si>
  <si>
    <t>Net Working Capital</t>
  </si>
  <si>
    <t>Assuming efficiency gains aren't realized until 2027.</t>
  </si>
  <si>
    <t>$ in Thousands</t>
  </si>
  <si>
    <t>FINANCIALS</t>
  </si>
  <si>
    <t>Discount Rate</t>
  </si>
  <si>
    <t>EV/EBITDA Mulltiple</t>
  </si>
  <si>
    <t>Current Price</t>
  </si>
  <si>
    <t>Shares Outstanding</t>
  </si>
  <si>
    <t>ASSUMPTIONS</t>
  </si>
  <si>
    <t>Perpetual Growth Rate</t>
  </si>
  <si>
    <t>Ent Value</t>
  </si>
  <si>
    <t>Terminal Value</t>
  </si>
  <si>
    <t>Perpetual Growth</t>
  </si>
  <si>
    <t>EV/EBITDA</t>
  </si>
  <si>
    <t>PV</t>
  </si>
  <si>
    <t>Valuation</t>
  </si>
  <si>
    <t>Price</t>
  </si>
  <si>
    <t>Adjusted EBITDA</t>
  </si>
  <si>
    <t>EBITDA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</si>
</sst>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\ hh:mm:ss"/>
    <numFmt numFmtId="165" formatCode="mmm\ \'yy"/>
    <numFmt numFmtId="166" formatCode="0.0%"/>
    <numFmt numFmtId="167" formatCode="0.0\x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rgb="FF0070C0"/>
      <name val="Ope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2" fontId="0" fillId="0" borderId="0" xfId="0" applyNumberFormat="1"/>
    <xf numFmtId="165" fontId="3" fillId="0" borderId="0" xfId="0" applyNumberFormat="1" applyFont="1" applyAlignment="1">
      <alignment horizontal="center"/>
    </xf>
    <xf numFmtId="41" fontId="0" fillId="0" borderId="0" xfId="0" applyNumberFormat="1"/>
    <xf numFmtId="9" fontId="0" fillId="0" borderId="0" xfId="1" applyFont="1"/>
    <xf numFmtId="41" fontId="0" fillId="0" borderId="2" xfId="0" applyNumberFormat="1" applyBorder="1"/>
    <xf numFmtId="9" fontId="7" fillId="0" borderId="0" xfId="1" applyFont="1"/>
    <xf numFmtId="0" fontId="5" fillId="0" borderId="0" xfId="0" applyFont="1" applyAlignment="1">
      <alignment horizontal="center"/>
    </xf>
    <xf numFmtId="166" fontId="0" fillId="0" borderId="0" xfId="1" applyNumberFormat="1" applyFont="1"/>
    <xf numFmtId="166" fontId="7" fillId="0" borderId="0" xfId="1" applyNumberFormat="1" applyFont="1"/>
    <xf numFmtId="0" fontId="0" fillId="0" borderId="6" xfId="0" applyBorder="1"/>
    <xf numFmtId="0" fontId="0" fillId="0" borderId="7" xfId="0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 applyAlignment="1">
      <alignment horizontal="left" indent="2"/>
    </xf>
    <xf numFmtId="41" fontId="8" fillId="0" borderId="0" xfId="0" applyNumberFormat="1" applyFont="1"/>
    <xf numFmtId="41" fontId="8" fillId="0" borderId="7" xfId="0" applyNumberFormat="1" applyFont="1" applyBorder="1"/>
    <xf numFmtId="0" fontId="8" fillId="0" borderId="6" xfId="0" applyFont="1" applyBorder="1" applyAlignment="1">
      <alignment horizontal="left"/>
    </xf>
    <xf numFmtId="0" fontId="8" fillId="0" borderId="6" xfId="0" applyFont="1" applyBorder="1"/>
    <xf numFmtId="0" fontId="8" fillId="0" borderId="0" xfId="0" applyFont="1"/>
    <xf numFmtId="0" fontId="8" fillId="0" borderId="7" xfId="0" applyFont="1" applyBorder="1"/>
    <xf numFmtId="9" fontId="8" fillId="0" borderId="0" xfId="1" applyFont="1" applyBorder="1"/>
    <xf numFmtId="42" fontId="8" fillId="0" borderId="0" xfId="0" applyNumberFormat="1" applyFont="1"/>
    <xf numFmtId="42" fontId="8" fillId="0" borderId="7" xfId="0" applyNumberFormat="1" applyFont="1" applyBorder="1"/>
    <xf numFmtId="9" fontId="7" fillId="0" borderId="0" xfId="1" applyFont="1" applyBorder="1"/>
    <xf numFmtId="9" fontId="7" fillId="0" borderId="7" xfId="1" applyFont="1" applyBorder="1"/>
    <xf numFmtId="0" fontId="5" fillId="0" borderId="8" xfId="0" applyFont="1" applyBorder="1"/>
    <xf numFmtId="0" fontId="5" fillId="0" borderId="9" xfId="0" applyFont="1" applyBorder="1"/>
    <xf numFmtId="42" fontId="5" fillId="0" borderId="9" xfId="0" applyNumberFormat="1" applyFont="1" applyBorder="1"/>
    <xf numFmtId="42" fontId="5" fillId="0" borderId="10" xfId="0" applyNumberFormat="1" applyFont="1" applyBorder="1"/>
    <xf numFmtId="0" fontId="5" fillId="0" borderId="0" xfId="0" applyFont="1"/>
    <xf numFmtId="41" fontId="5" fillId="0" borderId="0" xfId="0" applyNumberFormat="1" applyFont="1"/>
    <xf numFmtId="42" fontId="5" fillId="0" borderId="0" xfId="0" applyNumberFormat="1" applyFont="1"/>
    <xf numFmtId="42" fontId="9" fillId="0" borderId="0" xfId="0" applyNumberFormat="1" applyFont="1"/>
    <xf numFmtId="0" fontId="4" fillId="2" borderId="0" xfId="0" applyFont="1" applyFill="1"/>
    <xf numFmtId="0" fontId="6" fillId="2" borderId="0" xfId="0" applyFont="1" applyFill="1"/>
    <xf numFmtId="167" fontId="10" fillId="0" borderId="0" xfId="2" applyNumberFormat="1" applyFont="1" applyAlignment="1">
      <alignment horizontal="right"/>
    </xf>
    <xf numFmtId="44" fontId="7" fillId="0" borderId="0" xfId="1" applyNumberFormat="1" applyFont="1"/>
    <xf numFmtId="3" fontId="7" fillId="0" borderId="0" xfId="1" applyNumberFormat="1" applyFont="1"/>
    <xf numFmtId="8" fontId="0" fillId="0" borderId="0" xfId="0" applyNumberFormat="1"/>
    <xf numFmtId="6" fontId="0" fillId="0" borderId="0" xfId="0" applyNumberFormat="1"/>
    <xf numFmtId="0" fontId="4" fillId="2" borderId="0" xfId="0" applyFont="1" applyFill="1" applyAlignment="1">
      <alignment horizontal="center"/>
    </xf>
    <xf numFmtId="41" fontId="9" fillId="0" borderId="0" xfId="0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2A64-6CF8-442A-BD14-7F8844B283AD}">
  <dimension ref="A1:L52"/>
  <sheetViews>
    <sheetView showGridLines="0" tabSelected="1" workbookViewId="0">
      <selection activeCell="L37" sqref="L37"/>
    </sheetView>
  </sheetViews>
  <sheetFormatPr defaultRowHeight="14.4" x14ac:dyDescent="0.3"/>
  <cols>
    <col min="1" max="1" width="1.77734375" customWidth="1"/>
    <col min="2" max="2" width="29.77734375" bestFit="1" customWidth="1"/>
    <col min="3" max="11" width="12.77734375" customWidth="1"/>
    <col min="12" max="12" width="50.77734375" customWidth="1"/>
  </cols>
  <sheetData>
    <row r="1" spans="1:4" x14ac:dyDescent="0.3">
      <c r="A1" s="33" t="s">
        <v>231</v>
      </c>
    </row>
    <row r="2" spans="1:4" x14ac:dyDescent="0.3">
      <c r="A2" t="s">
        <v>232</v>
      </c>
    </row>
    <row r="3" spans="1:4" x14ac:dyDescent="0.3">
      <c r="A3" t="s">
        <v>244</v>
      </c>
    </row>
    <row r="5" spans="1:4" x14ac:dyDescent="0.3">
      <c r="B5" s="37" t="s">
        <v>250</v>
      </c>
      <c r="C5" s="38"/>
    </row>
    <row r="6" spans="1:4" x14ac:dyDescent="0.3">
      <c r="B6" t="s">
        <v>246</v>
      </c>
      <c r="C6" s="8">
        <v>0.1</v>
      </c>
    </row>
    <row r="7" spans="1:4" x14ac:dyDescent="0.3">
      <c r="B7" t="s">
        <v>251</v>
      </c>
      <c r="C7" s="8">
        <v>0.03</v>
      </c>
    </row>
    <row r="8" spans="1:4" ht="15" x14ac:dyDescent="0.35">
      <c r="B8" t="s">
        <v>247</v>
      </c>
      <c r="C8" s="39">
        <v>7</v>
      </c>
    </row>
    <row r="9" spans="1:4" x14ac:dyDescent="0.3">
      <c r="B9" t="s">
        <v>248</v>
      </c>
      <c r="C9" s="40">
        <v>2.38</v>
      </c>
    </row>
    <row r="10" spans="1:4" x14ac:dyDescent="0.3">
      <c r="B10" t="s">
        <v>249</v>
      </c>
      <c r="C10" s="41">
        <v>28996177</v>
      </c>
    </row>
    <row r="11" spans="1:4" x14ac:dyDescent="0.3">
      <c r="C11" s="8"/>
    </row>
    <row r="12" spans="1:4" x14ac:dyDescent="0.3">
      <c r="B12" s="37" t="s">
        <v>253</v>
      </c>
      <c r="C12" s="37"/>
      <c r="D12" s="44" t="s">
        <v>256</v>
      </c>
    </row>
    <row r="13" spans="1:4" x14ac:dyDescent="0.3">
      <c r="B13" t="s">
        <v>254</v>
      </c>
      <c r="C13" s="5">
        <f>(K52*(1+C7))/(C6-C7)</f>
        <v>2056929.1285714286</v>
      </c>
      <c r="D13" s="43">
        <f>PV($C$6,5,,-C13,0)</f>
        <v>1277191.1559514862</v>
      </c>
    </row>
    <row r="14" spans="1:4" x14ac:dyDescent="0.3">
      <c r="B14" t="s">
        <v>255</v>
      </c>
      <c r="C14" s="3">
        <f>K28*C8</f>
        <v>1584269.4000000001</v>
      </c>
      <c r="D14" s="43">
        <f>PV($C$6,5,,-C14,0)</f>
        <v>983706.6519301337</v>
      </c>
    </row>
    <row r="16" spans="1:4" x14ac:dyDescent="0.3">
      <c r="B16" s="37" t="s">
        <v>257</v>
      </c>
      <c r="C16" s="44" t="s">
        <v>252</v>
      </c>
      <c r="D16" s="44" t="s">
        <v>258</v>
      </c>
    </row>
    <row r="17" spans="2:12" x14ac:dyDescent="0.3">
      <c r="B17" t="s">
        <v>254</v>
      </c>
      <c r="C17" s="43">
        <f>XNPV($C$6,$G$52:$K$52,$G$23:$K$23)+D13</f>
        <v>1502686.7222167368</v>
      </c>
      <c r="D17" s="42">
        <f>C17*1000/C10</f>
        <v>51.823615306829474</v>
      </c>
    </row>
    <row r="18" spans="2:12" x14ac:dyDescent="0.3">
      <c r="B18" t="s">
        <v>255</v>
      </c>
      <c r="C18" s="43">
        <f>XNPV($C$6,$G$52:$K$52,$G$23:$K$23)+D14</f>
        <v>1209202.2181953844</v>
      </c>
      <c r="D18" s="42">
        <f>C18*1000/C10</f>
        <v>41.702125704205223</v>
      </c>
    </row>
    <row r="21" spans="2:12" x14ac:dyDescent="0.3">
      <c r="B21" s="37" t="s">
        <v>245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2:12" x14ac:dyDescent="0.3">
      <c r="C22" s="9" t="s">
        <v>236</v>
      </c>
      <c r="D22" s="9" t="s">
        <v>236</v>
      </c>
      <c r="E22" s="9" t="s">
        <v>236</v>
      </c>
      <c r="F22" s="9" t="s">
        <v>236</v>
      </c>
      <c r="G22" s="9" t="s">
        <v>237</v>
      </c>
      <c r="H22" s="9" t="s">
        <v>237</v>
      </c>
      <c r="I22" s="9" t="s">
        <v>237</v>
      </c>
      <c r="J22" s="9" t="s">
        <v>237</v>
      </c>
      <c r="K22" s="9" t="s">
        <v>237</v>
      </c>
    </row>
    <row r="23" spans="2:12" x14ac:dyDescent="0.3">
      <c r="C23" s="4">
        <v>44561</v>
      </c>
      <c r="D23" s="4">
        <v>44926</v>
      </c>
      <c r="E23" s="4">
        <v>45291</v>
      </c>
      <c r="F23" s="4">
        <v>45657</v>
      </c>
      <c r="G23" s="4">
        <f>EDATE(F23,12)</f>
        <v>46022</v>
      </c>
      <c r="H23" s="4">
        <f t="shared" ref="H23:K23" si="0">EDATE(G23,12)</f>
        <v>46387</v>
      </c>
      <c r="I23" s="4">
        <f t="shared" si="0"/>
        <v>46752</v>
      </c>
      <c r="J23" s="4">
        <f t="shared" si="0"/>
        <v>47118</v>
      </c>
      <c r="K23" s="4">
        <f t="shared" si="0"/>
        <v>47483</v>
      </c>
      <c r="L23" t="s">
        <v>239</v>
      </c>
    </row>
    <row r="25" spans="2:12" x14ac:dyDescent="0.3">
      <c r="B25" s="33" t="s">
        <v>57</v>
      </c>
      <c r="C25" s="35">
        <f>SUMIFS('Income Statement'!$D:$D,'Income Statement'!$B:$B,DCF!$B25,'Income Statement'!$C:$C,DCF!C$23)/1000</f>
        <v>166124</v>
      </c>
      <c r="D25" s="35">
        <f>SUMIFS('Income Statement'!$D:$D,'Income Statement'!$B:$B,DCF!$B25,'Income Statement'!$C:$C,DCF!D$23)/1000</f>
        <v>235531</v>
      </c>
      <c r="E25" s="35">
        <f>SUMIFS('Income Statement'!$D:$D,'Income Statement'!$B:$B,DCF!$B25,'Income Statement'!$C:$C,DCF!E$23)/1000</f>
        <v>256108</v>
      </c>
      <c r="F25" s="35">
        <f>SUMIFS('Income Statement'!$D:$D,'Income Statement'!$B:$B,DCF!$B25,'Income Statement'!$C:$C,DCF!F$23)/1000</f>
        <v>299972</v>
      </c>
      <c r="G25" s="36">
        <v>365000</v>
      </c>
      <c r="H25" s="36">
        <v>450160</v>
      </c>
      <c r="I25" s="36">
        <v>529710</v>
      </c>
      <c r="J25" s="36">
        <v>572210</v>
      </c>
      <c r="K25" s="36">
        <v>595590</v>
      </c>
    </row>
    <row r="26" spans="2:12" x14ac:dyDescent="0.3">
      <c r="D26" s="6">
        <f>D25/C25-1</f>
        <v>0.41780236449880803</v>
      </c>
      <c r="E26" s="6">
        <f>E25/D25-1</f>
        <v>8.7364295995006946E-2</v>
      </c>
      <c r="F26" s="6">
        <f>F25/E25-1</f>
        <v>0.1712714948381151</v>
      </c>
      <c r="G26" s="6">
        <f t="shared" ref="G26:K26" si="1">G25/F25-1</f>
        <v>0.21678023282173009</v>
      </c>
      <c r="H26" s="6">
        <f t="shared" si="1"/>
        <v>0.23331506849315065</v>
      </c>
      <c r="I26" s="6">
        <f t="shared" si="1"/>
        <v>0.17671494579704983</v>
      </c>
      <c r="J26" s="6">
        <f t="shared" si="1"/>
        <v>8.02325800909931E-2</v>
      </c>
      <c r="K26" s="6">
        <f t="shared" si="1"/>
        <v>4.0859125146362363E-2</v>
      </c>
    </row>
    <row r="28" spans="2:12" x14ac:dyDescent="0.3">
      <c r="B28" s="33" t="s">
        <v>259</v>
      </c>
      <c r="C28" s="34">
        <f>SUMIFS('Income Statement'!$D:$D,'Income Statement'!$B:$B,DCF!$B28,'Income Statement'!$C:$C,DCF!C$23)/1000</f>
        <v>0</v>
      </c>
      <c r="D28" s="45">
        <v>53401</v>
      </c>
      <c r="E28" s="45">
        <v>51950</v>
      </c>
      <c r="F28" s="45">
        <v>90005</v>
      </c>
      <c r="G28" s="35">
        <f>G25*G29</f>
        <v>109500</v>
      </c>
      <c r="H28" s="35">
        <f t="shared" ref="H28:K28" si="2">H25*H29</f>
        <v>144051.20000000001</v>
      </c>
      <c r="I28" s="35">
        <f t="shared" si="2"/>
        <v>185398.5</v>
      </c>
      <c r="J28" s="35">
        <f t="shared" si="2"/>
        <v>211717.7</v>
      </c>
      <c r="K28" s="35">
        <f t="shared" si="2"/>
        <v>226324.2</v>
      </c>
    </row>
    <row r="29" spans="2:12" x14ac:dyDescent="0.3">
      <c r="B29" t="s">
        <v>260</v>
      </c>
      <c r="C29" s="10">
        <f>C28/C25</f>
        <v>0</v>
      </c>
      <c r="D29" s="10">
        <f>D28/D25</f>
        <v>0.22672599360593723</v>
      </c>
      <c r="E29" s="10">
        <f>E28/E25</f>
        <v>0.20284411263998001</v>
      </c>
      <c r="F29" s="10">
        <f>F28/F25</f>
        <v>0.30004467083594472</v>
      </c>
      <c r="G29" s="11">
        <v>0.3</v>
      </c>
      <c r="H29" s="11">
        <v>0.32</v>
      </c>
      <c r="I29" s="11">
        <v>0.35</v>
      </c>
      <c r="J29" s="11">
        <v>0.37</v>
      </c>
      <c r="K29" s="11">
        <v>0.38</v>
      </c>
    </row>
    <row r="31" spans="2:12" x14ac:dyDescent="0.3">
      <c r="B31" s="33" t="s">
        <v>31</v>
      </c>
      <c r="C31" s="34">
        <f>SUMIFS('Income Statement'!$D:$D,'Income Statement'!$B:$B,DCF!$B31,'Income Statement'!$C:$C,DCF!C$23)/1000</f>
        <v>0</v>
      </c>
      <c r="D31" s="34">
        <f>SUMIFS('Income Statement'!$D:$D,'Income Statement'!$B:$B,DCF!$B31,'Income Statement'!$C:$C,DCF!D$23)/1000</f>
        <v>0</v>
      </c>
      <c r="E31" s="34">
        <f>SUMIFS('Income Statement'!$D:$D,'Income Statement'!$B:$B,DCF!$B31,'Income Statement'!$C:$C,DCF!E$23)/1000</f>
        <v>0</v>
      </c>
      <c r="F31" s="34">
        <f>SUMIFS('Income Statement'!$D:$D,'Income Statement'!$B:$B,DCF!$B31,'Income Statement'!$C:$C,DCF!F$23)/1000</f>
        <v>-8906</v>
      </c>
      <c r="G31" s="34">
        <f>G28*G32</f>
        <v>0</v>
      </c>
      <c r="H31" s="34">
        <f t="shared" ref="H31:K31" si="3">H28*H32</f>
        <v>0</v>
      </c>
      <c r="I31" s="34">
        <f t="shared" si="3"/>
        <v>0</v>
      </c>
      <c r="J31" s="34">
        <f t="shared" si="3"/>
        <v>0</v>
      </c>
      <c r="K31" s="34">
        <f t="shared" si="3"/>
        <v>0</v>
      </c>
    </row>
    <row r="32" spans="2:12" x14ac:dyDescent="0.3">
      <c r="B32" t="s">
        <v>233</v>
      </c>
      <c r="C32" s="6" t="e">
        <f>C31/C28</f>
        <v>#DIV/0!</v>
      </c>
      <c r="D32" s="6">
        <f t="shared" ref="D32:F32" si="4">D31/D28</f>
        <v>0</v>
      </c>
      <c r="E32" s="6">
        <f t="shared" si="4"/>
        <v>0</v>
      </c>
      <c r="F32" s="6">
        <f t="shared" si="4"/>
        <v>-9.8950058330092766E-2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</row>
    <row r="34" spans="2:12" ht="15" thickBot="1" x14ac:dyDescent="0.35">
      <c r="B34" t="s">
        <v>242</v>
      </c>
    </row>
    <row r="35" spans="2:12" x14ac:dyDescent="0.3">
      <c r="B35" s="14" t="s">
        <v>211</v>
      </c>
      <c r="C35" s="15"/>
      <c r="D35" s="15"/>
      <c r="E35" s="15"/>
      <c r="F35" s="15"/>
      <c r="G35" s="15"/>
      <c r="H35" s="15"/>
      <c r="I35" s="15"/>
      <c r="J35" s="15"/>
      <c r="K35" s="16"/>
    </row>
    <row r="36" spans="2:12" x14ac:dyDescent="0.3">
      <c r="B36" s="17" t="s">
        <v>225</v>
      </c>
      <c r="C36" s="18">
        <f>SUMIFS('Balance Sheet'!$D:$D,'Balance Sheet'!$B:$B,DCF!$B36,'Balance Sheet'!$C:$C,DCF!C$23)/1000</f>
        <v>25391</v>
      </c>
      <c r="D36" s="18">
        <f>SUMIFS('Balance Sheet'!$D:$D,'Balance Sheet'!$B:$B,DCF!$B36,'Balance Sheet'!$C:$C,DCF!D$23)/1000</f>
        <v>31083</v>
      </c>
      <c r="E36" s="18">
        <f>SUMIFS('Balance Sheet'!$D:$D,'Balance Sheet'!$B:$B,DCF!$B36,'Balance Sheet'!$C:$C,DCF!E$23)/1000</f>
        <v>27623</v>
      </c>
      <c r="F36" s="18">
        <f>SUMIFS('Balance Sheet'!$D:$D,'Balance Sheet'!$B:$B,DCF!$B36,'Balance Sheet'!$C:$C,DCF!F$23)/1000</f>
        <v>32013</v>
      </c>
      <c r="G36" s="18"/>
      <c r="H36" s="18"/>
      <c r="I36" s="18"/>
      <c r="J36" s="18"/>
      <c r="K36" s="19"/>
    </row>
    <row r="37" spans="2:12" x14ac:dyDescent="0.3">
      <c r="B37" s="17" t="s">
        <v>217</v>
      </c>
      <c r="C37" s="18">
        <f>SUMIFS('Balance Sheet'!$D:$D,'Balance Sheet'!$B:$B,DCF!$B37,'Balance Sheet'!$C:$C,DCF!C$23)/1000</f>
        <v>5143</v>
      </c>
      <c r="D37" s="18">
        <f>SUMIFS('Balance Sheet'!$D:$D,'Balance Sheet'!$B:$B,DCF!$B37,'Balance Sheet'!$C:$C,DCF!D$23)/1000</f>
        <v>7311</v>
      </c>
      <c r="E37" s="18">
        <f>SUMIFS('Balance Sheet'!$D:$D,'Balance Sheet'!$B:$B,DCF!$B37,'Balance Sheet'!$C:$C,DCF!E$23)/1000</f>
        <v>10191</v>
      </c>
      <c r="F37" s="18">
        <f>SUMIFS('Balance Sheet'!$D:$D,'Balance Sheet'!$B:$B,DCF!$B37,'Balance Sheet'!$C:$C,DCF!F$23)/1000</f>
        <v>10294</v>
      </c>
      <c r="G37" s="18"/>
      <c r="H37" s="18"/>
      <c r="I37" s="18"/>
      <c r="J37" s="18"/>
      <c r="K37" s="19"/>
    </row>
    <row r="38" spans="2:12" x14ac:dyDescent="0.3">
      <c r="B38" s="20"/>
      <c r="C38" s="18"/>
      <c r="D38" s="18"/>
      <c r="E38" s="18"/>
      <c r="F38" s="18"/>
      <c r="G38" s="18"/>
      <c r="H38" s="18"/>
      <c r="I38" s="18"/>
      <c r="J38" s="18"/>
      <c r="K38" s="19"/>
    </row>
    <row r="39" spans="2:12" x14ac:dyDescent="0.3">
      <c r="B39" s="20" t="s">
        <v>172</v>
      </c>
      <c r="C39" s="18"/>
      <c r="D39" s="18"/>
      <c r="E39" s="18"/>
      <c r="F39" s="18"/>
      <c r="G39" s="18"/>
      <c r="H39" s="18"/>
      <c r="I39" s="18"/>
      <c r="J39" s="18"/>
      <c r="K39" s="19"/>
    </row>
    <row r="40" spans="2:12" x14ac:dyDescent="0.3">
      <c r="B40" s="17" t="s">
        <v>182</v>
      </c>
      <c r="C40" s="18">
        <f>SUMIFS('Balance Sheet'!$D:$D,'Balance Sheet'!$B:$B,DCF!$B40,'Balance Sheet'!$C:$C,DCF!C$23)/1000</f>
        <v>35114</v>
      </c>
      <c r="D40" s="18">
        <f>SUMIFS('Balance Sheet'!$D:$D,'Balance Sheet'!$B:$B,DCF!$B40,'Balance Sheet'!$C:$C,DCF!D$23)/1000</f>
        <v>57819</v>
      </c>
      <c r="E40" s="18">
        <f>SUMIFS('Balance Sheet'!$D:$D,'Balance Sheet'!$B:$B,DCF!$B40,'Balance Sheet'!$C:$C,DCF!E$23)/1000</f>
        <v>63879</v>
      </c>
      <c r="F40" s="18">
        <f>SUMIFS('Balance Sheet'!$D:$D,'Balance Sheet'!$B:$B,DCF!$B40,'Balance Sheet'!$C:$C,DCF!F$23)/1000</f>
        <v>76511</v>
      </c>
      <c r="G40" s="18"/>
      <c r="H40" s="18"/>
      <c r="I40" s="18"/>
      <c r="J40" s="18"/>
      <c r="K40" s="19"/>
    </row>
    <row r="41" spans="2:12" x14ac:dyDescent="0.3">
      <c r="B41" s="17" t="s">
        <v>181</v>
      </c>
      <c r="C41" s="18">
        <f>SUMIFS('Balance Sheet'!$D:$D,'Balance Sheet'!$B:$B,DCF!$B41,'Balance Sheet'!$C:$C,DCF!C$23)/1000</f>
        <v>831</v>
      </c>
      <c r="D41" s="18">
        <f>SUMIFS('Balance Sheet'!$D:$D,'Balance Sheet'!$B:$B,DCF!$B41,'Balance Sheet'!$C:$C,DCF!D$23)/1000</f>
        <v>1296</v>
      </c>
      <c r="E41" s="18">
        <f>SUMIFS('Balance Sheet'!$D:$D,'Balance Sheet'!$B:$B,DCF!$B41,'Balance Sheet'!$C:$C,DCF!E$23)/1000</f>
        <v>1812</v>
      </c>
      <c r="F41" s="18">
        <f>SUMIFS('Balance Sheet'!$D:$D,'Balance Sheet'!$B:$B,DCF!$B41,'Balance Sheet'!$C:$C,DCF!F$23)/1000</f>
        <v>2804</v>
      </c>
      <c r="G41" s="18"/>
      <c r="H41" s="18"/>
      <c r="I41" s="18"/>
      <c r="J41" s="18"/>
      <c r="K41" s="19"/>
    </row>
    <row r="42" spans="2:12" x14ac:dyDescent="0.3">
      <c r="B42" s="17" t="s">
        <v>173</v>
      </c>
      <c r="C42" s="18">
        <f>SUMIFS('Balance Sheet'!$D:$D,'Balance Sheet'!$B:$B,DCF!$B42,'Balance Sheet'!$C:$C,DCF!C$23)/1000</f>
        <v>1366</v>
      </c>
      <c r="D42" s="18">
        <f>SUMIFS('Balance Sheet'!$D:$D,'Balance Sheet'!$B:$B,DCF!$B42,'Balance Sheet'!$C:$C,DCF!D$23)/1000</f>
        <v>5681</v>
      </c>
      <c r="E42" s="18">
        <f>SUMIFS('Balance Sheet'!$D:$D,'Balance Sheet'!$B:$B,DCF!$B42,'Balance Sheet'!$C:$C,DCF!E$23)/1000</f>
        <v>92</v>
      </c>
      <c r="F42" s="18">
        <f>SUMIFS('Balance Sheet'!$D:$D,'Balance Sheet'!$B:$B,DCF!$B42,'Balance Sheet'!$C:$C,DCF!F$23)/1000</f>
        <v>1604</v>
      </c>
      <c r="G42" s="18"/>
      <c r="H42" s="18"/>
      <c r="I42" s="18"/>
      <c r="J42" s="18"/>
      <c r="K42" s="19"/>
    </row>
    <row r="43" spans="2:12" x14ac:dyDescent="0.3">
      <c r="B43" s="21"/>
      <c r="C43" s="22"/>
      <c r="D43" s="22"/>
      <c r="E43" s="22"/>
      <c r="F43" s="22"/>
      <c r="G43" s="22"/>
      <c r="H43" s="22"/>
      <c r="I43" s="22"/>
      <c r="J43" s="22"/>
      <c r="K43" s="23"/>
    </row>
    <row r="44" spans="2:12" x14ac:dyDescent="0.3">
      <c r="B44" s="20" t="s">
        <v>241</v>
      </c>
      <c r="C44" s="18">
        <f>SUM(C36:C37)-SUM(C40:C42)</f>
        <v>-6777</v>
      </c>
      <c r="D44" s="18">
        <f>SUM(D36:D37)-SUM(D40:D42)</f>
        <v>-26402</v>
      </c>
      <c r="E44" s="18">
        <f>SUM(E36:E37)-SUM(E40:E42)</f>
        <v>-27969</v>
      </c>
      <c r="F44" s="18">
        <f>SUM(F36:F37)-SUM(F40:F42)</f>
        <v>-38612</v>
      </c>
      <c r="G44" s="25">
        <f>G25*G45</f>
        <v>-47450</v>
      </c>
      <c r="H44" s="25">
        <f t="shared" ref="H44:K44" si="5">H25*H45</f>
        <v>-58520.800000000003</v>
      </c>
      <c r="I44" s="25">
        <f t="shared" si="5"/>
        <v>-63565.2</v>
      </c>
      <c r="J44" s="25">
        <f t="shared" si="5"/>
        <v>-68665.2</v>
      </c>
      <c r="K44" s="26">
        <f t="shared" si="5"/>
        <v>-71470.8</v>
      </c>
    </row>
    <row r="45" spans="2:12" x14ac:dyDescent="0.3">
      <c r="B45" s="17" t="s">
        <v>238</v>
      </c>
      <c r="C45" s="24">
        <f>C44/C25</f>
        <v>-4.0794827959837229E-2</v>
      </c>
      <c r="D45" s="24">
        <f>D44/D25</f>
        <v>-0.11209564770667131</v>
      </c>
      <c r="E45" s="24">
        <f>E44/E25</f>
        <v>-0.10920783419494901</v>
      </c>
      <c r="F45" s="24">
        <f>F44/F25</f>
        <v>-0.12871868041017162</v>
      </c>
      <c r="G45" s="27">
        <v>-0.13</v>
      </c>
      <c r="H45" s="27">
        <v>-0.13</v>
      </c>
      <c r="I45" s="27">
        <v>-0.12</v>
      </c>
      <c r="J45" s="27">
        <v>-0.12</v>
      </c>
      <c r="K45" s="28">
        <v>-0.12</v>
      </c>
      <c r="L45" t="s">
        <v>243</v>
      </c>
    </row>
    <row r="46" spans="2:12" x14ac:dyDescent="0.3">
      <c r="B46" s="12"/>
      <c r="K46" s="13"/>
    </row>
    <row r="47" spans="2:12" ht="15" thickBot="1" x14ac:dyDescent="0.35">
      <c r="B47" s="29" t="s">
        <v>234</v>
      </c>
      <c r="C47" s="30"/>
      <c r="D47" s="31">
        <f t="shared" ref="D47:K47" si="6">D44-C44</f>
        <v>-19625</v>
      </c>
      <c r="E47" s="31">
        <f t="shared" si="6"/>
        <v>-1567</v>
      </c>
      <c r="F47" s="31">
        <f t="shared" si="6"/>
        <v>-10643</v>
      </c>
      <c r="G47" s="31">
        <f t="shared" si="6"/>
        <v>-8838</v>
      </c>
      <c r="H47" s="31">
        <f t="shared" si="6"/>
        <v>-11070.800000000003</v>
      </c>
      <c r="I47" s="31">
        <f t="shared" si="6"/>
        <v>-5044.3999999999942</v>
      </c>
      <c r="J47" s="31">
        <f t="shared" si="6"/>
        <v>-5100</v>
      </c>
      <c r="K47" s="32">
        <f t="shared" si="6"/>
        <v>-2805.6000000000058</v>
      </c>
    </row>
    <row r="48" spans="2:12" x14ac:dyDescent="0.3">
      <c r="D48" s="3"/>
      <c r="E48" s="3"/>
      <c r="F48" s="3"/>
    </row>
    <row r="49" spans="2:12" x14ac:dyDescent="0.3">
      <c r="B49" s="33" t="s">
        <v>64</v>
      </c>
      <c r="C49" s="34">
        <f>SUMIFS('Cash Flow'!$D:$D,'Cash Flow'!$B:$B,DCF!$B49,'Cash Flow'!$C:$C,DCF!C$23)/1000</f>
        <v>-89646</v>
      </c>
      <c r="D49" s="34">
        <f>SUMIFS('Cash Flow'!$D:$D,'Cash Flow'!$B:$B,DCF!$B49,'Cash Flow'!$C:$C,DCF!D$23)/1000</f>
        <v>-131410</v>
      </c>
      <c r="E49" s="34">
        <f>SUMIFS('Cash Flow'!$D:$D,'Cash Flow'!$B:$B,DCF!$B49,'Cash Flow'!$C:$C,DCF!E$23)/1000</f>
        <v>-113826</v>
      </c>
      <c r="F49" s="34">
        <f>SUMIFS('Cash Flow'!$D:$D,'Cash Flow'!$B:$B,DCF!$B49,'Cash Flow'!$C:$C,DCF!F$23)/1000</f>
        <v>-127239</v>
      </c>
      <c r="G49" s="34">
        <f>G25*G50</f>
        <v>-109500</v>
      </c>
      <c r="H49" s="34">
        <f>H25*H50</f>
        <v>-135048</v>
      </c>
      <c r="I49" s="34">
        <f>I25*I50</f>
        <v>-158913</v>
      </c>
      <c r="J49" s="34">
        <f>J25*J50</f>
        <v>-114442</v>
      </c>
      <c r="K49" s="34">
        <f>K25*K50</f>
        <v>-89338.5</v>
      </c>
    </row>
    <row r="50" spans="2:12" x14ac:dyDescent="0.3">
      <c r="B50" t="s">
        <v>238</v>
      </c>
      <c r="C50" s="6">
        <f>C49/C25</f>
        <v>-0.53963304519515543</v>
      </c>
      <c r="D50" s="6">
        <f>D49/D25</f>
        <v>-0.55793080316391475</v>
      </c>
      <c r="E50" s="6">
        <f>E49/E25</f>
        <v>-0.4444453121339435</v>
      </c>
      <c r="F50" s="6">
        <f>F49/F25</f>
        <v>-0.42416958916165509</v>
      </c>
      <c r="G50" s="8">
        <v>-0.3</v>
      </c>
      <c r="H50" s="8">
        <v>-0.3</v>
      </c>
      <c r="I50" s="8">
        <v>-0.3</v>
      </c>
      <c r="J50" s="8">
        <v>-0.2</v>
      </c>
      <c r="K50" s="8">
        <v>-0.15</v>
      </c>
      <c r="L50" t="s">
        <v>240</v>
      </c>
    </row>
    <row r="51" spans="2:12" x14ac:dyDescent="0.3">
      <c r="C51" s="5"/>
      <c r="D51" s="5"/>
      <c r="E51" s="5"/>
      <c r="F51" s="5"/>
    </row>
    <row r="52" spans="2:12" x14ac:dyDescent="0.3">
      <c r="B52" t="s">
        <v>235</v>
      </c>
      <c r="C52" s="7">
        <f t="shared" ref="C52:K52" si="7">C28-C31-C47+C49</f>
        <v>-89646</v>
      </c>
      <c r="D52" s="7">
        <f t="shared" si="7"/>
        <v>-58384</v>
      </c>
      <c r="E52" s="7">
        <f t="shared" si="7"/>
        <v>-60309</v>
      </c>
      <c r="F52" s="7">
        <f t="shared" si="7"/>
        <v>-17685</v>
      </c>
      <c r="G52" s="7">
        <f t="shared" si="7"/>
        <v>8838</v>
      </c>
      <c r="H52" s="7">
        <f t="shared" si="7"/>
        <v>20074</v>
      </c>
      <c r="I52" s="7">
        <f t="shared" si="7"/>
        <v>31529.899999999994</v>
      </c>
      <c r="J52" s="7">
        <f t="shared" si="7"/>
        <v>102375.70000000001</v>
      </c>
      <c r="K52" s="7">
        <f t="shared" si="7"/>
        <v>139791.30000000002</v>
      </c>
    </row>
  </sheetData>
  <sortState xmlns:xlrd2="http://schemas.microsoft.com/office/spreadsheetml/2017/richdata2" ref="F23">
    <sortCondition ref="F23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81"/>
  <sheetViews>
    <sheetView workbookViewId="0">
      <selection activeCell="B219" sqref="B218:B219"/>
    </sheetView>
  </sheetViews>
  <sheetFormatPr defaultRowHeight="14.4" x14ac:dyDescent="0.3"/>
  <cols>
    <col min="2" max="2" width="51.6640625" bestFit="1" customWidth="1"/>
    <col min="3" max="3" width="18.109375" bestFit="1" customWidth="1"/>
    <col min="4" max="4" width="10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hidden="1" x14ac:dyDescent="0.3">
      <c r="A2" s="1">
        <v>0</v>
      </c>
      <c r="B2" t="s">
        <v>3</v>
      </c>
      <c r="C2" s="2">
        <v>45657</v>
      </c>
      <c r="D2">
        <v>-88200</v>
      </c>
    </row>
    <row r="3" spans="1:4" hidden="1" x14ac:dyDescent="0.3">
      <c r="A3" s="1">
        <v>1</v>
      </c>
      <c r="B3" t="s">
        <v>4</v>
      </c>
      <c r="C3" s="2">
        <v>45657</v>
      </c>
      <c r="D3">
        <v>0.21</v>
      </c>
    </row>
    <row r="4" spans="1:4" hidden="1" x14ac:dyDescent="0.3">
      <c r="A4" s="1">
        <v>2</v>
      </c>
      <c r="B4" t="s">
        <v>5</v>
      </c>
      <c r="C4" s="2">
        <v>45657</v>
      </c>
      <c r="D4">
        <v>41374000</v>
      </c>
    </row>
    <row r="5" spans="1:4" hidden="1" x14ac:dyDescent="0.3">
      <c r="A5" s="1">
        <v>3</v>
      </c>
      <c r="B5" t="s">
        <v>6</v>
      </c>
      <c r="C5" s="2">
        <v>45657</v>
      </c>
      <c r="D5">
        <v>-420000</v>
      </c>
    </row>
    <row r="6" spans="1:4" hidden="1" x14ac:dyDescent="0.3">
      <c r="A6" s="1">
        <v>4</v>
      </c>
      <c r="B6" t="s">
        <v>7</v>
      </c>
      <c r="C6" s="2">
        <v>45657</v>
      </c>
      <c r="D6">
        <v>-420000</v>
      </c>
    </row>
    <row r="7" spans="1:4" hidden="1" x14ac:dyDescent="0.3">
      <c r="A7" s="1">
        <v>5</v>
      </c>
      <c r="B7" t="s">
        <v>8</v>
      </c>
      <c r="C7" s="2">
        <v>45657</v>
      </c>
      <c r="D7">
        <v>11031000</v>
      </c>
    </row>
    <row r="8" spans="1:4" x14ac:dyDescent="0.3">
      <c r="A8" s="1">
        <v>6</v>
      </c>
      <c r="B8" t="s">
        <v>9</v>
      </c>
      <c r="C8" s="2">
        <v>45657</v>
      </c>
      <c r="D8">
        <v>18129000</v>
      </c>
    </row>
    <row r="9" spans="1:4" hidden="1" x14ac:dyDescent="0.3">
      <c r="A9" s="1">
        <v>7</v>
      </c>
      <c r="B9" t="s">
        <v>10</v>
      </c>
      <c r="C9" s="2">
        <v>45657</v>
      </c>
      <c r="D9">
        <v>199607000</v>
      </c>
    </row>
    <row r="10" spans="1:4" hidden="1" x14ac:dyDescent="0.3">
      <c r="A10" s="1">
        <v>8</v>
      </c>
      <c r="B10" t="s">
        <v>11</v>
      </c>
      <c r="C10" s="2">
        <v>45657</v>
      </c>
      <c r="D10">
        <v>40954000</v>
      </c>
    </row>
    <row r="11" spans="1:4" hidden="1" x14ac:dyDescent="0.3">
      <c r="A11" s="1">
        <v>9</v>
      </c>
      <c r="B11" t="s">
        <v>12</v>
      </c>
      <c r="C11" s="2">
        <v>45657</v>
      </c>
      <c r="D11">
        <v>22825000</v>
      </c>
    </row>
    <row r="12" spans="1:4" hidden="1" x14ac:dyDescent="0.3">
      <c r="A12" s="1">
        <v>10</v>
      </c>
      <c r="B12" t="s">
        <v>13</v>
      </c>
      <c r="C12" s="2">
        <v>45657</v>
      </c>
      <c r="D12">
        <v>-19610000</v>
      </c>
    </row>
    <row r="13" spans="1:4" hidden="1" x14ac:dyDescent="0.3">
      <c r="A13" s="1">
        <v>11</v>
      </c>
      <c r="B13" t="s">
        <v>14</v>
      </c>
      <c r="C13" s="2">
        <v>45657</v>
      </c>
      <c r="D13">
        <v>17406000</v>
      </c>
    </row>
    <row r="14" spans="1:4" hidden="1" x14ac:dyDescent="0.3">
      <c r="A14" s="1">
        <v>12</v>
      </c>
      <c r="B14" t="s">
        <v>15</v>
      </c>
      <c r="C14" s="2">
        <v>45657</v>
      </c>
      <c r="D14">
        <v>1921000</v>
      </c>
    </row>
    <row r="15" spans="1:4" hidden="1" x14ac:dyDescent="0.3">
      <c r="A15" s="1">
        <v>13</v>
      </c>
      <c r="B15" t="s">
        <v>16</v>
      </c>
      <c r="C15" s="2">
        <v>45657</v>
      </c>
      <c r="D15">
        <v>11362800</v>
      </c>
    </row>
    <row r="16" spans="1:4" hidden="1" x14ac:dyDescent="0.3">
      <c r="A16" s="1">
        <v>14</v>
      </c>
      <c r="B16" t="s">
        <v>17</v>
      </c>
      <c r="C16" s="2">
        <v>45657</v>
      </c>
      <c r="D16">
        <v>11031000</v>
      </c>
    </row>
    <row r="17" spans="1:4" hidden="1" x14ac:dyDescent="0.3">
      <c r="A17" s="1">
        <v>15</v>
      </c>
      <c r="B17" t="s">
        <v>18</v>
      </c>
      <c r="C17" s="2">
        <v>45657</v>
      </c>
      <c r="D17">
        <v>289969000</v>
      </c>
    </row>
    <row r="18" spans="1:4" hidden="1" x14ac:dyDescent="0.3">
      <c r="A18" s="1">
        <v>16</v>
      </c>
      <c r="B18" t="s">
        <v>19</v>
      </c>
      <c r="C18" s="2">
        <v>45657</v>
      </c>
      <c r="D18">
        <v>21222000</v>
      </c>
    </row>
    <row r="19" spans="1:4" hidden="1" x14ac:dyDescent="0.3">
      <c r="A19" s="1">
        <v>17</v>
      </c>
      <c r="B19" t="s">
        <v>20</v>
      </c>
      <c r="C19" s="2">
        <v>45657</v>
      </c>
      <c r="D19">
        <v>27694650</v>
      </c>
    </row>
    <row r="20" spans="1:4" hidden="1" x14ac:dyDescent="0.3">
      <c r="A20" s="1">
        <v>18</v>
      </c>
      <c r="B20" t="s">
        <v>21</v>
      </c>
      <c r="C20" s="2">
        <v>45657</v>
      </c>
      <c r="D20">
        <v>27617335</v>
      </c>
    </row>
    <row r="21" spans="1:4" hidden="1" x14ac:dyDescent="0.3">
      <c r="A21" s="1">
        <v>19</v>
      </c>
      <c r="B21" t="s">
        <v>22</v>
      </c>
      <c r="C21" s="2">
        <v>45657</v>
      </c>
      <c r="D21">
        <v>0.02</v>
      </c>
    </row>
    <row r="22" spans="1:4" hidden="1" x14ac:dyDescent="0.3">
      <c r="A22" s="1">
        <v>20</v>
      </c>
      <c r="B22" t="s">
        <v>23</v>
      </c>
      <c r="C22" s="2">
        <v>45657</v>
      </c>
      <c r="D22">
        <v>0.02</v>
      </c>
    </row>
    <row r="23" spans="1:4" hidden="1" x14ac:dyDescent="0.3">
      <c r="A23" s="1">
        <v>21</v>
      </c>
      <c r="B23" t="s">
        <v>24</v>
      </c>
      <c r="C23" s="2">
        <v>45657</v>
      </c>
      <c r="D23">
        <v>561000</v>
      </c>
    </row>
    <row r="24" spans="1:4" hidden="1" x14ac:dyDescent="0.3">
      <c r="A24" s="1">
        <v>22</v>
      </c>
      <c r="B24" t="s">
        <v>25</v>
      </c>
      <c r="C24" s="2">
        <v>45657</v>
      </c>
      <c r="D24">
        <v>561000</v>
      </c>
    </row>
    <row r="25" spans="1:4" hidden="1" x14ac:dyDescent="0.3">
      <c r="A25" s="1">
        <v>23</v>
      </c>
      <c r="B25" t="s">
        <v>26</v>
      </c>
      <c r="C25" s="2">
        <v>45657</v>
      </c>
      <c r="D25">
        <v>10470000</v>
      </c>
    </row>
    <row r="26" spans="1:4" hidden="1" x14ac:dyDescent="0.3">
      <c r="A26" s="1">
        <v>24</v>
      </c>
      <c r="B26" t="s">
        <v>27</v>
      </c>
      <c r="C26" s="2">
        <v>45657</v>
      </c>
      <c r="D26">
        <v>11031000</v>
      </c>
    </row>
    <row r="27" spans="1:4" hidden="1" x14ac:dyDescent="0.3">
      <c r="A27" s="1">
        <v>25</v>
      </c>
      <c r="B27" t="s">
        <v>28</v>
      </c>
      <c r="C27" s="2">
        <v>45657</v>
      </c>
      <c r="D27">
        <v>-3294000</v>
      </c>
    </row>
    <row r="28" spans="1:4" hidden="1" x14ac:dyDescent="0.3">
      <c r="A28" s="1">
        <v>26</v>
      </c>
      <c r="B28" t="s">
        <v>29</v>
      </c>
      <c r="C28" s="2">
        <v>45657</v>
      </c>
      <c r="D28">
        <v>14325000</v>
      </c>
    </row>
    <row r="29" spans="1:4" hidden="1" x14ac:dyDescent="0.3">
      <c r="A29" s="1">
        <v>27</v>
      </c>
      <c r="B29" t="s">
        <v>30</v>
      </c>
      <c r="C29" s="2">
        <v>45657</v>
      </c>
      <c r="D29">
        <v>14325000</v>
      </c>
    </row>
    <row r="30" spans="1:4" hidden="1" x14ac:dyDescent="0.3">
      <c r="A30" s="1">
        <v>28</v>
      </c>
      <c r="B30" t="s">
        <v>31</v>
      </c>
      <c r="C30" s="2">
        <v>45657</v>
      </c>
      <c r="D30">
        <v>-8906000</v>
      </c>
    </row>
    <row r="31" spans="1:4" hidden="1" x14ac:dyDescent="0.3">
      <c r="A31" s="1">
        <v>29</v>
      </c>
      <c r="B31" t="s">
        <v>32</v>
      </c>
      <c r="C31" s="2">
        <v>45657</v>
      </c>
      <c r="D31">
        <v>5419000</v>
      </c>
    </row>
    <row r="32" spans="1:4" hidden="1" x14ac:dyDescent="0.3">
      <c r="A32" s="1">
        <v>30</v>
      </c>
      <c r="B32" t="s">
        <v>33</v>
      </c>
      <c r="C32" s="2">
        <v>45657</v>
      </c>
      <c r="D32">
        <v>15026000</v>
      </c>
    </row>
    <row r="33" spans="1:4" hidden="1" x14ac:dyDescent="0.3">
      <c r="A33" s="1">
        <v>31</v>
      </c>
      <c r="B33" t="s">
        <v>34</v>
      </c>
      <c r="C33" s="2">
        <v>45657</v>
      </c>
      <c r="D33">
        <v>2211000</v>
      </c>
    </row>
    <row r="34" spans="1:4" hidden="1" x14ac:dyDescent="0.3">
      <c r="A34" s="1">
        <v>32</v>
      </c>
      <c r="B34" t="s">
        <v>35</v>
      </c>
      <c r="C34" s="2">
        <v>45657</v>
      </c>
      <c r="D34">
        <v>-2016000</v>
      </c>
    </row>
    <row r="35" spans="1:4" hidden="1" x14ac:dyDescent="0.3">
      <c r="A35" s="1">
        <v>33</v>
      </c>
      <c r="B35" t="s">
        <v>36</v>
      </c>
      <c r="C35" s="2">
        <v>45657</v>
      </c>
    </row>
    <row r="36" spans="1:4" hidden="1" x14ac:dyDescent="0.3">
      <c r="A36" s="1">
        <v>34</v>
      </c>
      <c r="B36" t="s">
        <v>37</v>
      </c>
      <c r="C36" s="2">
        <v>45657</v>
      </c>
      <c r="D36">
        <v>0</v>
      </c>
    </row>
    <row r="37" spans="1:4" hidden="1" x14ac:dyDescent="0.3">
      <c r="A37" s="1">
        <v>35</v>
      </c>
      <c r="B37" t="s">
        <v>38</v>
      </c>
      <c r="C37" s="2">
        <v>45657</v>
      </c>
      <c r="D37">
        <v>19109000</v>
      </c>
    </row>
    <row r="38" spans="1:4" hidden="1" x14ac:dyDescent="0.3">
      <c r="A38" s="1">
        <v>36</v>
      </c>
      <c r="B38" t="s">
        <v>39</v>
      </c>
      <c r="C38" s="2">
        <v>45657</v>
      </c>
      <c r="D38">
        <v>2016000</v>
      </c>
    </row>
    <row r="39" spans="1:4" hidden="1" x14ac:dyDescent="0.3">
      <c r="A39" s="1">
        <v>37</v>
      </c>
      <c r="B39" t="s">
        <v>40</v>
      </c>
      <c r="C39" s="2">
        <v>45657</v>
      </c>
    </row>
    <row r="40" spans="1:4" hidden="1" x14ac:dyDescent="0.3">
      <c r="A40" s="1">
        <v>38</v>
      </c>
      <c r="B40" t="s">
        <v>41</v>
      </c>
      <c r="C40" s="2">
        <v>45657</v>
      </c>
    </row>
    <row r="41" spans="1:4" hidden="1" x14ac:dyDescent="0.3">
      <c r="A41" s="1">
        <v>39</v>
      </c>
      <c r="B41" t="s">
        <v>42</v>
      </c>
      <c r="C41" s="2">
        <v>45657</v>
      </c>
      <c r="D41">
        <v>13235000</v>
      </c>
    </row>
    <row r="42" spans="1:4" hidden="1" x14ac:dyDescent="0.3">
      <c r="A42" s="1">
        <v>40</v>
      </c>
      <c r="B42" t="s">
        <v>43</v>
      </c>
      <c r="C42" s="2">
        <v>45657</v>
      </c>
      <c r="D42">
        <v>1596000</v>
      </c>
    </row>
    <row r="43" spans="1:4" hidden="1" x14ac:dyDescent="0.3">
      <c r="A43" s="1">
        <v>41</v>
      </c>
      <c r="B43" t="s">
        <v>44</v>
      </c>
      <c r="C43" s="2">
        <v>45657</v>
      </c>
      <c r="D43">
        <v>-19610000</v>
      </c>
    </row>
    <row r="44" spans="1:4" hidden="1" x14ac:dyDescent="0.3">
      <c r="A44" s="1">
        <v>42</v>
      </c>
      <c r="B44" t="s">
        <v>45</v>
      </c>
      <c r="C44" s="2">
        <v>45657</v>
      </c>
      <c r="D44">
        <v>4125000</v>
      </c>
    </row>
    <row r="45" spans="1:4" hidden="1" x14ac:dyDescent="0.3">
      <c r="A45" s="1">
        <v>43</v>
      </c>
      <c r="B45" t="s">
        <v>46</v>
      </c>
      <c r="C45" s="2">
        <v>45657</v>
      </c>
      <c r="D45">
        <v>17406000</v>
      </c>
    </row>
    <row r="46" spans="1:4" hidden="1" x14ac:dyDescent="0.3">
      <c r="A46" s="1">
        <v>44</v>
      </c>
      <c r="B46" t="s">
        <v>47</v>
      </c>
      <c r="C46" s="2">
        <v>45657</v>
      </c>
      <c r="D46">
        <v>1921000</v>
      </c>
    </row>
    <row r="47" spans="1:4" hidden="1" x14ac:dyDescent="0.3">
      <c r="A47" s="1">
        <v>45</v>
      </c>
      <c r="B47" t="s">
        <v>48</v>
      </c>
      <c r="C47" s="2">
        <v>45657</v>
      </c>
      <c r="D47">
        <v>10003000</v>
      </c>
    </row>
    <row r="48" spans="1:4" hidden="1" x14ac:dyDescent="0.3">
      <c r="A48" s="1">
        <v>46</v>
      </c>
      <c r="B48" t="s">
        <v>49</v>
      </c>
      <c r="C48" s="2">
        <v>45657</v>
      </c>
      <c r="D48">
        <v>90118000</v>
      </c>
    </row>
    <row r="49" spans="1:4" hidden="1" x14ac:dyDescent="0.3">
      <c r="A49" s="1">
        <v>47</v>
      </c>
      <c r="B49" t="s">
        <v>50</v>
      </c>
      <c r="C49" s="2">
        <v>45657</v>
      </c>
      <c r="D49">
        <v>19109000</v>
      </c>
    </row>
    <row r="50" spans="1:4" x14ac:dyDescent="0.3">
      <c r="A50" s="1">
        <v>48</v>
      </c>
      <c r="B50" t="s">
        <v>51</v>
      </c>
      <c r="C50" s="2">
        <v>45657</v>
      </c>
      <c r="D50">
        <v>17885000</v>
      </c>
    </row>
    <row r="51" spans="1:4" x14ac:dyDescent="0.3">
      <c r="A51" s="1">
        <v>49</v>
      </c>
      <c r="B51" t="s">
        <v>52</v>
      </c>
      <c r="C51" s="2">
        <v>45657</v>
      </c>
      <c r="D51">
        <v>17885000</v>
      </c>
    </row>
    <row r="52" spans="1:4" hidden="1" x14ac:dyDescent="0.3">
      <c r="A52" s="1">
        <v>50</v>
      </c>
      <c r="B52" t="s">
        <v>53</v>
      </c>
      <c r="C52" s="2">
        <v>45657</v>
      </c>
    </row>
    <row r="53" spans="1:4" hidden="1" x14ac:dyDescent="0.3">
      <c r="A53" s="1">
        <v>51</v>
      </c>
      <c r="B53" t="s">
        <v>54</v>
      </c>
      <c r="C53" s="2">
        <v>45657</v>
      </c>
      <c r="D53">
        <v>53124000</v>
      </c>
    </row>
    <row r="54" spans="1:4" hidden="1" x14ac:dyDescent="0.3">
      <c r="A54" s="1">
        <v>52</v>
      </c>
      <c r="B54" t="s">
        <v>55</v>
      </c>
      <c r="C54" s="2">
        <v>45657</v>
      </c>
      <c r="D54">
        <v>100121000</v>
      </c>
    </row>
    <row r="55" spans="1:4" hidden="1" x14ac:dyDescent="0.3">
      <c r="A55" s="1">
        <v>53</v>
      </c>
      <c r="B55" t="s">
        <v>56</v>
      </c>
      <c r="C55" s="2">
        <v>45657</v>
      </c>
      <c r="D55">
        <v>199851000</v>
      </c>
    </row>
    <row r="56" spans="1:4" hidden="1" x14ac:dyDescent="0.3">
      <c r="A56" s="1">
        <v>54</v>
      </c>
      <c r="B56" t="s">
        <v>57</v>
      </c>
      <c r="C56" s="2">
        <v>45657</v>
      </c>
      <c r="D56">
        <v>299972000</v>
      </c>
    </row>
    <row r="57" spans="1:4" hidden="1" x14ac:dyDescent="0.3">
      <c r="A57" s="1">
        <v>55</v>
      </c>
      <c r="B57" t="s">
        <v>58</v>
      </c>
      <c r="C57" s="2">
        <v>45657</v>
      </c>
      <c r="D57">
        <v>299972000</v>
      </c>
    </row>
    <row r="58" spans="1:4" hidden="1" x14ac:dyDescent="0.3">
      <c r="A58" s="1">
        <v>56</v>
      </c>
      <c r="B58" t="s">
        <v>3</v>
      </c>
      <c r="C58" s="2">
        <v>45291</v>
      </c>
      <c r="D58">
        <v>0</v>
      </c>
    </row>
    <row r="59" spans="1:4" hidden="1" x14ac:dyDescent="0.3">
      <c r="A59" s="1">
        <v>57</v>
      </c>
      <c r="B59" t="s">
        <v>4</v>
      </c>
      <c r="C59" s="2">
        <v>45291</v>
      </c>
      <c r="D59">
        <v>0</v>
      </c>
    </row>
    <row r="60" spans="1:4" hidden="1" x14ac:dyDescent="0.3">
      <c r="A60" s="1">
        <v>58</v>
      </c>
      <c r="B60" t="s">
        <v>5</v>
      </c>
      <c r="C60" s="2">
        <v>45291</v>
      </c>
      <c r="D60">
        <v>23049000</v>
      </c>
    </row>
    <row r="61" spans="1:4" hidden="1" x14ac:dyDescent="0.3">
      <c r="A61" s="1">
        <v>59</v>
      </c>
      <c r="B61" t="s">
        <v>6</v>
      </c>
      <c r="C61" s="2">
        <v>45291</v>
      </c>
      <c r="D61">
        <v>127691000</v>
      </c>
    </row>
    <row r="62" spans="1:4" hidden="1" x14ac:dyDescent="0.3">
      <c r="A62" s="1">
        <v>60</v>
      </c>
      <c r="B62" t="s">
        <v>7</v>
      </c>
      <c r="C62" s="2">
        <v>45291</v>
      </c>
      <c r="D62">
        <v>127691000</v>
      </c>
    </row>
    <row r="63" spans="1:4" hidden="1" x14ac:dyDescent="0.3">
      <c r="A63" s="1">
        <v>61</v>
      </c>
      <c r="B63" t="s">
        <v>8</v>
      </c>
      <c r="C63" s="2">
        <v>45291</v>
      </c>
      <c r="D63">
        <v>29947000</v>
      </c>
    </row>
    <row r="64" spans="1:4" x14ac:dyDescent="0.3">
      <c r="A64" s="1">
        <v>62</v>
      </c>
      <c r="B64" t="s">
        <v>9</v>
      </c>
      <c r="C64" s="2">
        <v>45291</v>
      </c>
      <c r="D64">
        <v>14687000</v>
      </c>
    </row>
    <row r="65" spans="1:4" hidden="1" x14ac:dyDescent="0.3">
      <c r="A65" s="1">
        <v>63</v>
      </c>
      <c r="B65" t="s">
        <v>10</v>
      </c>
      <c r="C65" s="2">
        <v>45291</v>
      </c>
      <c r="D65">
        <v>183778000</v>
      </c>
    </row>
    <row r="66" spans="1:4" hidden="1" x14ac:dyDescent="0.3">
      <c r="A66" s="1">
        <v>64</v>
      </c>
      <c r="B66" t="s">
        <v>11</v>
      </c>
      <c r="C66" s="2">
        <v>45291</v>
      </c>
      <c r="D66">
        <v>150740000</v>
      </c>
    </row>
    <row r="67" spans="1:4" hidden="1" x14ac:dyDescent="0.3">
      <c r="A67" s="1">
        <v>65</v>
      </c>
      <c r="B67" t="s">
        <v>12</v>
      </c>
      <c r="C67" s="2">
        <v>45291</v>
      </c>
      <c r="D67">
        <v>136053000</v>
      </c>
    </row>
    <row r="68" spans="1:4" hidden="1" x14ac:dyDescent="0.3">
      <c r="A68" s="1">
        <v>66</v>
      </c>
      <c r="B68" t="s">
        <v>13</v>
      </c>
      <c r="C68" s="2">
        <v>45291</v>
      </c>
      <c r="D68">
        <v>-9306000</v>
      </c>
    </row>
    <row r="69" spans="1:4" hidden="1" x14ac:dyDescent="0.3">
      <c r="A69" s="1">
        <v>67</v>
      </c>
      <c r="B69" t="s">
        <v>14</v>
      </c>
      <c r="C69" s="2">
        <v>45291</v>
      </c>
      <c r="D69">
        <v>9029000</v>
      </c>
    </row>
    <row r="70" spans="1:4" hidden="1" x14ac:dyDescent="0.3">
      <c r="A70" s="1">
        <v>68</v>
      </c>
      <c r="B70" t="s">
        <v>15</v>
      </c>
      <c r="C70" s="2">
        <v>45291</v>
      </c>
      <c r="D70">
        <v>2934000</v>
      </c>
    </row>
    <row r="71" spans="1:4" hidden="1" x14ac:dyDescent="0.3">
      <c r="A71" s="1">
        <v>69</v>
      </c>
      <c r="B71" t="s">
        <v>16</v>
      </c>
      <c r="C71" s="2">
        <v>45291</v>
      </c>
      <c r="D71">
        <v>-97744000</v>
      </c>
    </row>
    <row r="72" spans="1:4" hidden="1" x14ac:dyDescent="0.3">
      <c r="A72" s="1">
        <v>70</v>
      </c>
      <c r="B72" t="s">
        <v>17</v>
      </c>
      <c r="C72" s="2">
        <v>45291</v>
      </c>
      <c r="D72">
        <v>29947000</v>
      </c>
    </row>
    <row r="73" spans="1:4" hidden="1" x14ac:dyDescent="0.3">
      <c r="A73" s="1">
        <v>71</v>
      </c>
      <c r="B73" t="s">
        <v>18</v>
      </c>
      <c r="C73" s="2">
        <v>45291</v>
      </c>
      <c r="D73">
        <v>254593000</v>
      </c>
    </row>
    <row r="74" spans="1:4" hidden="1" x14ac:dyDescent="0.3">
      <c r="A74" s="1">
        <v>72</v>
      </c>
      <c r="B74" t="s">
        <v>19</v>
      </c>
      <c r="C74" s="2">
        <v>45291</v>
      </c>
      <c r="D74">
        <v>7040000</v>
      </c>
    </row>
    <row r="75" spans="1:4" hidden="1" x14ac:dyDescent="0.3">
      <c r="A75" s="1">
        <v>73</v>
      </c>
      <c r="B75" t="s">
        <v>20</v>
      </c>
      <c r="C75" s="2">
        <v>45291</v>
      </c>
      <c r="D75">
        <v>27494016</v>
      </c>
    </row>
    <row r="76" spans="1:4" hidden="1" x14ac:dyDescent="0.3">
      <c r="A76" s="1">
        <v>74</v>
      </c>
      <c r="B76" t="s">
        <v>21</v>
      </c>
      <c r="C76" s="2">
        <v>45291</v>
      </c>
      <c r="D76">
        <v>27148538</v>
      </c>
    </row>
    <row r="77" spans="1:4" hidden="1" x14ac:dyDescent="0.3">
      <c r="A77" s="1">
        <v>75</v>
      </c>
      <c r="B77" t="s">
        <v>22</v>
      </c>
      <c r="C77" s="2">
        <v>45291</v>
      </c>
      <c r="D77">
        <v>0.69</v>
      </c>
    </row>
    <row r="78" spans="1:4" hidden="1" x14ac:dyDescent="0.3">
      <c r="A78" s="1">
        <v>76</v>
      </c>
      <c r="B78" t="s">
        <v>23</v>
      </c>
      <c r="C78" s="2">
        <v>45291</v>
      </c>
      <c r="D78">
        <v>0.7</v>
      </c>
    </row>
    <row r="79" spans="1:4" hidden="1" x14ac:dyDescent="0.3">
      <c r="A79" s="1">
        <v>77</v>
      </c>
      <c r="B79" t="s">
        <v>24</v>
      </c>
      <c r="C79" s="2">
        <v>45291</v>
      </c>
      <c r="D79">
        <v>18936000</v>
      </c>
    </row>
    <row r="80" spans="1:4" hidden="1" x14ac:dyDescent="0.3">
      <c r="A80" s="1">
        <v>78</v>
      </c>
      <c r="B80" t="s">
        <v>25</v>
      </c>
      <c r="C80" s="2">
        <v>45291</v>
      </c>
      <c r="D80">
        <v>18936000</v>
      </c>
    </row>
    <row r="81" spans="1:4" hidden="1" x14ac:dyDescent="0.3">
      <c r="A81" s="1">
        <v>79</v>
      </c>
      <c r="B81" t="s">
        <v>26</v>
      </c>
      <c r="C81" s="2">
        <v>45291</v>
      </c>
      <c r="D81">
        <v>11011000</v>
      </c>
    </row>
    <row r="82" spans="1:4" hidden="1" x14ac:dyDescent="0.3">
      <c r="A82" s="1">
        <v>80</v>
      </c>
      <c r="B82" t="s">
        <v>27</v>
      </c>
      <c r="C82" s="2">
        <v>45291</v>
      </c>
      <c r="D82">
        <v>29947000</v>
      </c>
    </row>
    <row r="83" spans="1:4" hidden="1" x14ac:dyDescent="0.3">
      <c r="A83" s="1">
        <v>81</v>
      </c>
      <c r="B83" t="s">
        <v>28</v>
      </c>
      <c r="C83" s="2">
        <v>45291</v>
      </c>
      <c r="D83">
        <v>-97077000</v>
      </c>
    </row>
    <row r="84" spans="1:4" hidden="1" x14ac:dyDescent="0.3">
      <c r="A84" s="1">
        <v>82</v>
      </c>
      <c r="B84" t="s">
        <v>29</v>
      </c>
      <c r="C84" s="2">
        <v>45291</v>
      </c>
      <c r="D84">
        <v>127024000</v>
      </c>
    </row>
    <row r="85" spans="1:4" hidden="1" x14ac:dyDescent="0.3">
      <c r="A85" s="1">
        <v>83</v>
      </c>
      <c r="B85" t="s">
        <v>30</v>
      </c>
      <c r="C85" s="2">
        <v>45291</v>
      </c>
      <c r="D85">
        <v>127024000</v>
      </c>
    </row>
    <row r="86" spans="1:4" hidden="1" x14ac:dyDescent="0.3">
      <c r="A86" s="1">
        <v>84</v>
      </c>
      <c r="B86" t="s">
        <v>31</v>
      </c>
      <c r="C86" s="2">
        <v>45291</v>
      </c>
      <c r="D86">
        <v>0</v>
      </c>
    </row>
    <row r="87" spans="1:4" hidden="1" x14ac:dyDescent="0.3">
      <c r="A87" s="1">
        <v>85</v>
      </c>
      <c r="B87" t="s">
        <v>32</v>
      </c>
      <c r="C87" s="2">
        <v>45291</v>
      </c>
      <c r="D87">
        <v>127024000</v>
      </c>
    </row>
    <row r="88" spans="1:4" hidden="1" x14ac:dyDescent="0.3">
      <c r="A88" s="1">
        <v>86</v>
      </c>
      <c r="B88" t="s">
        <v>33</v>
      </c>
      <c r="C88" s="2">
        <v>45291</v>
      </c>
      <c r="D88">
        <v>134815000</v>
      </c>
    </row>
    <row r="89" spans="1:4" hidden="1" x14ac:dyDescent="0.3">
      <c r="A89" s="1">
        <v>87</v>
      </c>
      <c r="B89" t="s">
        <v>34</v>
      </c>
      <c r="C89" s="2">
        <v>45291</v>
      </c>
      <c r="D89">
        <v>1599000</v>
      </c>
    </row>
    <row r="90" spans="1:4" hidden="1" x14ac:dyDescent="0.3">
      <c r="A90" s="1">
        <v>88</v>
      </c>
      <c r="B90" t="s">
        <v>35</v>
      </c>
      <c r="C90" s="2">
        <v>45291</v>
      </c>
      <c r="D90">
        <v>120683000</v>
      </c>
    </row>
    <row r="91" spans="1:4" hidden="1" x14ac:dyDescent="0.3">
      <c r="A91" s="1">
        <v>89</v>
      </c>
      <c r="B91" t="s">
        <v>36</v>
      </c>
      <c r="C91" s="2">
        <v>45291</v>
      </c>
    </row>
    <row r="92" spans="1:4" hidden="1" x14ac:dyDescent="0.3">
      <c r="A92" s="1">
        <v>90</v>
      </c>
      <c r="B92" t="s">
        <v>37</v>
      </c>
      <c r="C92" s="2">
        <v>45291</v>
      </c>
      <c r="D92">
        <v>122873000</v>
      </c>
    </row>
    <row r="93" spans="1:4" hidden="1" x14ac:dyDescent="0.3">
      <c r="A93" s="1">
        <v>91</v>
      </c>
      <c r="B93" t="s">
        <v>38</v>
      </c>
      <c r="C93" s="2">
        <v>45291</v>
      </c>
      <c r="D93">
        <v>2190000</v>
      </c>
    </row>
    <row r="94" spans="1:4" hidden="1" x14ac:dyDescent="0.3">
      <c r="A94" s="1">
        <v>92</v>
      </c>
      <c r="B94" t="s">
        <v>39</v>
      </c>
      <c r="C94" s="2">
        <v>45291</v>
      </c>
      <c r="D94">
        <v>0</v>
      </c>
    </row>
    <row r="95" spans="1:4" hidden="1" x14ac:dyDescent="0.3">
      <c r="A95" s="1">
        <v>93</v>
      </c>
      <c r="B95" t="s">
        <v>40</v>
      </c>
      <c r="C95" s="2">
        <v>45291</v>
      </c>
    </row>
    <row r="96" spans="1:4" hidden="1" x14ac:dyDescent="0.3">
      <c r="A96" s="1">
        <v>94</v>
      </c>
      <c r="B96" t="s">
        <v>41</v>
      </c>
      <c r="C96" s="2">
        <v>45291</v>
      </c>
    </row>
    <row r="97" spans="1:4" hidden="1" x14ac:dyDescent="0.3">
      <c r="A97" s="1">
        <v>95</v>
      </c>
      <c r="B97" t="s">
        <v>42</v>
      </c>
      <c r="C97" s="2">
        <v>45291</v>
      </c>
      <c r="D97">
        <v>5525000</v>
      </c>
    </row>
    <row r="98" spans="1:4" hidden="1" x14ac:dyDescent="0.3">
      <c r="A98" s="1">
        <v>96</v>
      </c>
      <c r="B98" t="s">
        <v>43</v>
      </c>
      <c r="C98" s="2">
        <v>45291</v>
      </c>
      <c r="D98">
        <v>7008000</v>
      </c>
    </row>
    <row r="99" spans="1:4" hidden="1" x14ac:dyDescent="0.3">
      <c r="A99" s="1">
        <v>97</v>
      </c>
      <c r="B99" t="s">
        <v>44</v>
      </c>
      <c r="C99" s="2">
        <v>45291</v>
      </c>
      <c r="D99">
        <v>-9306000</v>
      </c>
    </row>
    <row r="100" spans="1:4" hidden="1" x14ac:dyDescent="0.3">
      <c r="A100" s="1">
        <v>98</v>
      </c>
      <c r="B100" t="s">
        <v>45</v>
      </c>
      <c r="C100" s="2">
        <v>45291</v>
      </c>
      <c r="D100">
        <v>3211000</v>
      </c>
    </row>
    <row r="101" spans="1:4" hidden="1" x14ac:dyDescent="0.3">
      <c r="A101" s="1">
        <v>99</v>
      </c>
      <c r="B101" t="s">
        <v>46</v>
      </c>
      <c r="C101" s="2">
        <v>45291</v>
      </c>
      <c r="D101">
        <v>9029000</v>
      </c>
    </row>
    <row r="102" spans="1:4" hidden="1" x14ac:dyDescent="0.3">
      <c r="A102" s="1">
        <v>100</v>
      </c>
      <c r="B102" t="s">
        <v>47</v>
      </c>
      <c r="C102" s="2">
        <v>45291</v>
      </c>
      <c r="D102">
        <v>2934000</v>
      </c>
    </row>
    <row r="103" spans="1:4" hidden="1" x14ac:dyDescent="0.3">
      <c r="A103" s="1">
        <v>101</v>
      </c>
      <c r="B103" t="s">
        <v>48</v>
      </c>
      <c r="C103" s="2">
        <v>45291</v>
      </c>
      <c r="D103">
        <v>1515000</v>
      </c>
    </row>
    <row r="104" spans="1:4" hidden="1" x14ac:dyDescent="0.3">
      <c r="A104" s="1">
        <v>102</v>
      </c>
      <c r="B104" t="s">
        <v>49</v>
      </c>
      <c r="C104" s="2">
        <v>45291</v>
      </c>
      <c r="D104">
        <v>70693000</v>
      </c>
    </row>
    <row r="105" spans="1:4" hidden="1" x14ac:dyDescent="0.3">
      <c r="A105" s="1">
        <v>103</v>
      </c>
      <c r="B105" t="s">
        <v>50</v>
      </c>
      <c r="C105" s="2">
        <v>45291</v>
      </c>
      <c r="D105">
        <v>4866000</v>
      </c>
    </row>
    <row r="106" spans="1:4" x14ac:dyDescent="0.3">
      <c r="A106" s="1">
        <v>104</v>
      </c>
      <c r="B106" t="s">
        <v>51</v>
      </c>
      <c r="C106" s="2">
        <v>45291</v>
      </c>
      <c r="D106">
        <v>14565000</v>
      </c>
    </row>
    <row r="107" spans="1:4" x14ac:dyDescent="0.3">
      <c r="A107" s="1">
        <v>105</v>
      </c>
      <c r="B107" t="s">
        <v>52</v>
      </c>
      <c r="C107" s="2">
        <v>45291</v>
      </c>
      <c r="D107">
        <v>14565000</v>
      </c>
    </row>
    <row r="108" spans="1:4" hidden="1" x14ac:dyDescent="0.3">
      <c r="A108" s="1">
        <v>106</v>
      </c>
      <c r="B108" t="s">
        <v>53</v>
      </c>
      <c r="C108" s="2">
        <v>45291</v>
      </c>
      <c r="D108">
        <v>4866000</v>
      </c>
    </row>
    <row r="109" spans="1:4" hidden="1" x14ac:dyDescent="0.3">
      <c r="A109" s="1">
        <v>107</v>
      </c>
      <c r="B109" t="s">
        <v>54</v>
      </c>
      <c r="C109" s="2">
        <v>45291</v>
      </c>
      <c r="D109">
        <v>51262000</v>
      </c>
    </row>
    <row r="110" spans="1:4" hidden="1" x14ac:dyDescent="0.3">
      <c r="A110" s="1">
        <v>108</v>
      </c>
      <c r="B110" t="s">
        <v>55</v>
      </c>
      <c r="C110" s="2">
        <v>45291</v>
      </c>
      <c r="D110">
        <v>72208000</v>
      </c>
    </row>
    <row r="111" spans="1:4" hidden="1" x14ac:dyDescent="0.3">
      <c r="A111" s="1">
        <v>109</v>
      </c>
      <c r="B111" t="s">
        <v>56</v>
      </c>
      <c r="C111" s="2">
        <v>45291</v>
      </c>
      <c r="D111">
        <v>183900000</v>
      </c>
    </row>
    <row r="112" spans="1:4" hidden="1" x14ac:dyDescent="0.3">
      <c r="A112" s="1">
        <v>110</v>
      </c>
      <c r="B112" t="s">
        <v>57</v>
      </c>
      <c r="C112" s="2">
        <v>45291</v>
      </c>
      <c r="D112">
        <v>256108000</v>
      </c>
    </row>
    <row r="113" spans="1:4" hidden="1" x14ac:dyDescent="0.3">
      <c r="A113" s="1">
        <v>111</v>
      </c>
      <c r="B113" t="s">
        <v>58</v>
      </c>
      <c r="C113" s="2">
        <v>45291</v>
      </c>
      <c r="D113">
        <v>256108000</v>
      </c>
    </row>
    <row r="114" spans="1:4" hidden="1" x14ac:dyDescent="0.3">
      <c r="A114" s="1">
        <v>112</v>
      </c>
      <c r="B114" t="s">
        <v>3</v>
      </c>
      <c r="C114" s="2">
        <v>44926</v>
      </c>
      <c r="D114">
        <v>0</v>
      </c>
    </row>
    <row r="115" spans="1:4" hidden="1" x14ac:dyDescent="0.3">
      <c r="A115" s="1">
        <v>113</v>
      </c>
      <c r="B115" t="s">
        <v>4</v>
      </c>
      <c r="C115" s="2">
        <v>44926</v>
      </c>
      <c r="D115">
        <v>0</v>
      </c>
    </row>
    <row r="116" spans="1:4" hidden="1" x14ac:dyDescent="0.3">
      <c r="A116" s="1">
        <v>114</v>
      </c>
      <c r="B116" t="s">
        <v>5</v>
      </c>
      <c r="C116" s="2">
        <v>44926</v>
      </c>
      <c r="D116">
        <v>21656000</v>
      </c>
    </row>
    <row r="117" spans="1:4" hidden="1" x14ac:dyDescent="0.3">
      <c r="A117" s="1">
        <v>115</v>
      </c>
      <c r="B117" t="s">
        <v>6</v>
      </c>
      <c r="C117" s="2">
        <v>44926</v>
      </c>
      <c r="D117">
        <v>31656000</v>
      </c>
    </row>
    <row r="118" spans="1:4" hidden="1" x14ac:dyDescent="0.3">
      <c r="A118" s="1">
        <v>116</v>
      </c>
      <c r="B118" t="s">
        <v>7</v>
      </c>
      <c r="C118" s="2">
        <v>44926</v>
      </c>
      <c r="D118">
        <v>31656000</v>
      </c>
    </row>
    <row r="119" spans="1:4" hidden="1" x14ac:dyDescent="0.3">
      <c r="A119" s="1">
        <v>117</v>
      </c>
      <c r="B119" t="s">
        <v>8</v>
      </c>
      <c r="C119" s="2">
        <v>44926</v>
      </c>
      <c r="D119">
        <v>11323000</v>
      </c>
    </row>
    <row r="120" spans="1:4" x14ac:dyDescent="0.3">
      <c r="A120" s="1">
        <v>118</v>
      </c>
      <c r="B120" t="s">
        <v>9</v>
      </c>
      <c r="C120" s="2">
        <v>44926</v>
      </c>
      <c r="D120">
        <v>13785000</v>
      </c>
    </row>
    <row r="121" spans="1:4" hidden="1" x14ac:dyDescent="0.3">
      <c r="A121" s="1">
        <v>119</v>
      </c>
      <c r="B121" t="s">
        <v>10</v>
      </c>
      <c r="C121" s="2">
        <v>44926</v>
      </c>
      <c r="D121">
        <v>162143000</v>
      </c>
    </row>
    <row r="122" spans="1:4" hidden="1" x14ac:dyDescent="0.3">
      <c r="A122" s="1">
        <v>120</v>
      </c>
      <c r="B122" t="s">
        <v>11</v>
      </c>
      <c r="C122" s="2">
        <v>44926</v>
      </c>
      <c r="D122">
        <v>53312000</v>
      </c>
    </row>
    <row r="123" spans="1:4" hidden="1" x14ac:dyDescent="0.3">
      <c r="A123" s="1">
        <v>121</v>
      </c>
      <c r="B123" t="s">
        <v>12</v>
      </c>
      <c r="C123" s="2">
        <v>44926</v>
      </c>
      <c r="D123">
        <v>39527000</v>
      </c>
    </row>
    <row r="124" spans="1:4" hidden="1" x14ac:dyDescent="0.3">
      <c r="A124" s="1">
        <v>122</v>
      </c>
      <c r="B124" t="s">
        <v>13</v>
      </c>
      <c r="C124" s="2">
        <v>44926</v>
      </c>
      <c r="D124">
        <v>-6640000</v>
      </c>
    </row>
    <row r="125" spans="1:4" hidden="1" x14ac:dyDescent="0.3">
      <c r="A125" s="1">
        <v>123</v>
      </c>
      <c r="B125" t="s">
        <v>14</v>
      </c>
      <c r="C125" s="2">
        <v>44926</v>
      </c>
      <c r="D125">
        <v>6948000</v>
      </c>
    </row>
    <row r="126" spans="1:4" hidden="1" x14ac:dyDescent="0.3">
      <c r="A126" s="1">
        <v>124</v>
      </c>
      <c r="B126" t="s">
        <v>15</v>
      </c>
      <c r="C126" s="2">
        <v>44926</v>
      </c>
      <c r="D126">
        <v>3278000</v>
      </c>
    </row>
    <row r="127" spans="1:4" hidden="1" x14ac:dyDescent="0.3">
      <c r="A127" s="1">
        <v>125</v>
      </c>
      <c r="B127" t="s">
        <v>16</v>
      </c>
      <c r="C127" s="2">
        <v>44926</v>
      </c>
      <c r="D127">
        <v>-20333000</v>
      </c>
    </row>
    <row r="128" spans="1:4" hidden="1" x14ac:dyDescent="0.3">
      <c r="A128" s="1">
        <v>126</v>
      </c>
      <c r="B128" t="s">
        <v>17</v>
      </c>
      <c r="C128" s="2">
        <v>44926</v>
      </c>
      <c r="D128">
        <v>11323000</v>
      </c>
    </row>
    <row r="129" spans="1:4" hidden="1" x14ac:dyDescent="0.3">
      <c r="A129" s="1">
        <v>127</v>
      </c>
      <c r="B129" t="s">
        <v>18</v>
      </c>
      <c r="C129" s="2">
        <v>44926</v>
      </c>
      <c r="D129">
        <v>233752000</v>
      </c>
    </row>
    <row r="130" spans="1:4" hidden="1" x14ac:dyDescent="0.3">
      <c r="A130" s="1">
        <v>128</v>
      </c>
      <c r="B130" t="s">
        <v>19</v>
      </c>
      <c r="C130" s="2">
        <v>44926</v>
      </c>
      <c r="D130">
        <v>7563000</v>
      </c>
    </row>
    <row r="131" spans="1:4" hidden="1" x14ac:dyDescent="0.3">
      <c r="A131" s="1">
        <v>129</v>
      </c>
      <c r="B131" t="s">
        <v>20</v>
      </c>
      <c r="C131" s="2">
        <v>44926</v>
      </c>
      <c r="D131">
        <v>26062398</v>
      </c>
    </row>
    <row r="132" spans="1:4" hidden="1" x14ac:dyDescent="0.3">
      <c r="A132" s="1">
        <v>130</v>
      </c>
      <c r="B132" t="s">
        <v>21</v>
      </c>
      <c r="C132" s="2">
        <v>44926</v>
      </c>
      <c r="D132">
        <v>25774312</v>
      </c>
    </row>
    <row r="133" spans="1:4" hidden="1" x14ac:dyDescent="0.3">
      <c r="A133" s="1">
        <v>131</v>
      </c>
      <c r="B133" t="s">
        <v>22</v>
      </c>
      <c r="C133" s="2">
        <v>44926</v>
      </c>
      <c r="D133">
        <v>0.12</v>
      </c>
    </row>
    <row r="134" spans="1:4" hidden="1" x14ac:dyDescent="0.3">
      <c r="A134" s="1">
        <v>132</v>
      </c>
      <c r="B134" t="s">
        <v>23</v>
      </c>
      <c r="C134" s="2">
        <v>44926</v>
      </c>
      <c r="D134">
        <v>0.13</v>
      </c>
    </row>
    <row r="135" spans="1:4" hidden="1" x14ac:dyDescent="0.3">
      <c r="A135" s="1">
        <v>133</v>
      </c>
      <c r="B135" t="s">
        <v>24</v>
      </c>
      <c r="C135" s="2">
        <v>44926</v>
      </c>
      <c r="D135">
        <v>3391000</v>
      </c>
    </row>
    <row r="136" spans="1:4" hidden="1" x14ac:dyDescent="0.3">
      <c r="A136" s="1">
        <v>134</v>
      </c>
      <c r="B136" t="s">
        <v>25</v>
      </c>
      <c r="C136" s="2">
        <v>44926</v>
      </c>
      <c r="D136">
        <v>3391000</v>
      </c>
    </row>
    <row r="137" spans="1:4" hidden="1" x14ac:dyDescent="0.3">
      <c r="A137" s="1">
        <v>135</v>
      </c>
      <c r="B137" t="s">
        <v>26</v>
      </c>
      <c r="C137" s="2">
        <v>44926</v>
      </c>
      <c r="D137">
        <v>7932000</v>
      </c>
    </row>
    <row r="138" spans="1:4" hidden="1" x14ac:dyDescent="0.3">
      <c r="A138" s="1">
        <v>136</v>
      </c>
      <c r="B138" t="s">
        <v>27</v>
      </c>
      <c r="C138" s="2">
        <v>44926</v>
      </c>
      <c r="D138">
        <v>11323000</v>
      </c>
    </row>
    <row r="139" spans="1:4" hidden="1" x14ac:dyDescent="0.3">
      <c r="A139" s="1">
        <v>137</v>
      </c>
      <c r="B139" t="s">
        <v>28</v>
      </c>
      <c r="C139" s="2">
        <v>44926</v>
      </c>
      <c r="D139">
        <v>-21256000</v>
      </c>
    </row>
    <row r="140" spans="1:4" hidden="1" x14ac:dyDescent="0.3">
      <c r="A140" s="1">
        <v>138</v>
      </c>
      <c r="B140" t="s">
        <v>29</v>
      </c>
      <c r="C140" s="2">
        <v>44926</v>
      </c>
      <c r="D140">
        <v>32579000</v>
      </c>
    </row>
    <row r="141" spans="1:4" hidden="1" x14ac:dyDescent="0.3">
      <c r="A141" s="1">
        <v>139</v>
      </c>
      <c r="B141" t="s">
        <v>30</v>
      </c>
      <c r="C141" s="2">
        <v>44926</v>
      </c>
      <c r="D141">
        <v>32579000</v>
      </c>
    </row>
    <row r="142" spans="1:4" hidden="1" x14ac:dyDescent="0.3">
      <c r="A142" s="1">
        <v>140</v>
      </c>
      <c r="B142" t="s">
        <v>31</v>
      </c>
      <c r="C142" s="2">
        <v>44926</v>
      </c>
      <c r="D142">
        <v>0</v>
      </c>
    </row>
    <row r="143" spans="1:4" hidden="1" x14ac:dyDescent="0.3">
      <c r="A143" s="1">
        <v>141</v>
      </c>
      <c r="B143" t="s">
        <v>32</v>
      </c>
      <c r="C143" s="2">
        <v>44926</v>
      </c>
      <c r="D143">
        <v>32579000</v>
      </c>
    </row>
    <row r="144" spans="1:4" hidden="1" x14ac:dyDescent="0.3">
      <c r="A144" s="1">
        <v>142</v>
      </c>
      <c r="B144" t="s">
        <v>33</v>
      </c>
      <c r="C144" s="2">
        <v>44926</v>
      </c>
      <c r="D144">
        <v>37440000</v>
      </c>
    </row>
    <row r="145" spans="1:4" hidden="1" x14ac:dyDescent="0.3">
      <c r="A145" s="1">
        <v>143</v>
      </c>
      <c r="B145" t="s">
        <v>34</v>
      </c>
      <c r="C145" s="2">
        <v>44926</v>
      </c>
      <c r="D145">
        <v>1943000</v>
      </c>
    </row>
    <row r="146" spans="1:4" hidden="1" x14ac:dyDescent="0.3">
      <c r="A146" s="1">
        <v>144</v>
      </c>
      <c r="B146" t="s">
        <v>35</v>
      </c>
      <c r="C146" s="2">
        <v>44926</v>
      </c>
      <c r="D146">
        <v>0</v>
      </c>
    </row>
    <row r="147" spans="1:4" hidden="1" x14ac:dyDescent="0.3">
      <c r="A147" s="1">
        <v>145</v>
      </c>
      <c r="B147" t="s">
        <v>36</v>
      </c>
      <c r="C147" s="2">
        <v>44926</v>
      </c>
    </row>
    <row r="148" spans="1:4" hidden="1" x14ac:dyDescent="0.3">
      <c r="A148" s="1">
        <v>146</v>
      </c>
      <c r="B148" t="s">
        <v>37</v>
      </c>
      <c r="C148" s="2">
        <v>44926</v>
      </c>
      <c r="D148">
        <v>0</v>
      </c>
    </row>
    <row r="149" spans="1:4" hidden="1" x14ac:dyDescent="0.3">
      <c r="A149" s="1">
        <v>147</v>
      </c>
      <c r="B149" t="s">
        <v>38</v>
      </c>
      <c r="C149" s="2">
        <v>44926</v>
      </c>
      <c r="D149">
        <v>6438000</v>
      </c>
    </row>
    <row r="150" spans="1:4" hidden="1" x14ac:dyDescent="0.3">
      <c r="A150" s="1">
        <v>148</v>
      </c>
      <c r="B150" t="s">
        <v>39</v>
      </c>
      <c r="C150" s="2">
        <v>44926</v>
      </c>
    </row>
    <row r="151" spans="1:4" hidden="1" x14ac:dyDescent="0.3">
      <c r="A151" s="1">
        <v>149</v>
      </c>
      <c r="B151" t="s">
        <v>40</v>
      </c>
      <c r="C151" s="2">
        <v>44926</v>
      </c>
    </row>
    <row r="152" spans="1:4" hidden="1" x14ac:dyDescent="0.3">
      <c r="A152" s="1">
        <v>150</v>
      </c>
      <c r="B152" t="s">
        <v>41</v>
      </c>
      <c r="C152" s="2">
        <v>44926</v>
      </c>
      <c r="D152">
        <v>0</v>
      </c>
    </row>
    <row r="153" spans="1:4" hidden="1" x14ac:dyDescent="0.3">
      <c r="A153" s="1">
        <v>151</v>
      </c>
      <c r="B153" t="s">
        <v>42</v>
      </c>
      <c r="C153" s="2">
        <v>44926</v>
      </c>
      <c r="D153">
        <v>5784000</v>
      </c>
    </row>
    <row r="154" spans="1:4" hidden="1" x14ac:dyDescent="0.3">
      <c r="A154" s="1">
        <v>152</v>
      </c>
      <c r="B154" t="s">
        <v>43</v>
      </c>
      <c r="C154" s="2">
        <v>44926</v>
      </c>
      <c r="D154">
        <v>31656000</v>
      </c>
    </row>
    <row r="155" spans="1:4" hidden="1" x14ac:dyDescent="0.3">
      <c r="A155" s="1">
        <v>153</v>
      </c>
      <c r="B155" t="s">
        <v>44</v>
      </c>
      <c r="C155" s="2">
        <v>44926</v>
      </c>
      <c r="D155">
        <v>-6640000</v>
      </c>
    </row>
    <row r="156" spans="1:4" hidden="1" x14ac:dyDescent="0.3">
      <c r="A156" s="1">
        <v>154</v>
      </c>
      <c r="B156" t="s">
        <v>45</v>
      </c>
      <c r="C156" s="2">
        <v>44926</v>
      </c>
      <c r="D156">
        <v>2970000</v>
      </c>
    </row>
    <row r="157" spans="1:4" hidden="1" x14ac:dyDescent="0.3">
      <c r="A157" s="1">
        <v>155</v>
      </c>
      <c r="B157" t="s">
        <v>46</v>
      </c>
      <c r="C157" s="2">
        <v>44926</v>
      </c>
      <c r="D157">
        <v>6948000</v>
      </c>
    </row>
    <row r="158" spans="1:4" hidden="1" x14ac:dyDescent="0.3">
      <c r="A158" s="1">
        <v>156</v>
      </c>
      <c r="B158" t="s">
        <v>47</v>
      </c>
      <c r="C158" s="2">
        <v>44926</v>
      </c>
      <c r="D158">
        <v>3278000</v>
      </c>
    </row>
    <row r="159" spans="1:4" hidden="1" x14ac:dyDescent="0.3">
      <c r="A159" s="1">
        <v>157</v>
      </c>
      <c r="B159" t="s">
        <v>48</v>
      </c>
      <c r="C159" s="2">
        <v>44926</v>
      </c>
      <c r="D159">
        <v>1779000</v>
      </c>
    </row>
    <row r="160" spans="1:4" hidden="1" x14ac:dyDescent="0.3">
      <c r="A160" s="1">
        <v>158</v>
      </c>
      <c r="B160" t="s">
        <v>49</v>
      </c>
      <c r="C160" s="2">
        <v>44926</v>
      </c>
      <c r="D160">
        <v>70960000</v>
      </c>
    </row>
    <row r="161" spans="1:4" hidden="1" x14ac:dyDescent="0.3">
      <c r="A161" s="1">
        <v>159</v>
      </c>
      <c r="B161" t="s">
        <v>50</v>
      </c>
      <c r="C161" s="2">
        <v>44926</v>
      </c>
      <c r="D161">
        <v>6438000</v>
      </c>
    </row>
    <row r="162" spans="1:4" x14ac:dyDescent="0.3">
      <c r="A162" s="1">
        <v>160</v>
      </c>
      <c r="B162" t="s">
        <v>51</v>
      </c>
      <c r="C162" s="2">
        <v>44926</v>
      </c>
      <c r="D162">
        <v>13136000</v>
      </c>
    </row>
    <row r="163" spans="1:4" x14ac:dyDescent="0.3">
      <c r="A163" s="1">
        <v>161</v>
      </c>
      <c r="B163" t="s">
        <v>52</v>
      </c>
      <c r="C163" s="2">
        <v>44926</v>
      </c>
      <c r="D163">
        <v>13136000</v>
      </c>
    </row>
    <row r="164" spans="1:4" hidden="1" x14ac:dyDescent="0.3">
      <c r="A164" s="1">
        <v>162</v>
      </c>
      <c r="B164" t="s">
        <v>53</v>
      </c>
      <c r="C164" s="2">
        <v>44926</v>
      </c>
      <c r="D164">
        <v>6438000</v>
      </c>
    </row>
    <row r="165" spans="1:4" hidden="1" x14ac:dyDescent="0.3">
      <c r="A165" s="1">
        <v>163</v>
      </c>
      <c r="B165" t="s">
        <v>54</v>
      </c>
      <c r="C165" s="2">
        <v>44926</v>
      </c>
      <c r="D165">
        <v>51386000</v>
      </c>
    </row>
    <row r="166" spans="1:4" hidden="1" x14ac:dyDescent="0.3">
      <c r="A166" s="1">
        <v>164</v>
      </c>
      <c r="B166" t="s">
        <v>55</v>
      </c>
      <c r="C166" s="2">
        <v>44926</v>
      </c>
      <c r="D166">
        <v>72739000</v>
      </c>
    </row>
    <row r="167" spans="1:4" hidden="1" x14ac:dyDescent="0.3">
      <c r="A167" s="1">
        <v>165</v>
      </c>
      <c r="B167" t="s">
        <v>56</v>
      </c>
      <c r="C167" s="2">
        <v>44926</v>
      </c>
      <c r="D167">
        <v>162792000</v>
      </c>
    </row>
    <row r="168" spans="1:4" hidden="1" x14ac:dyDescent="0.3">
      <c r="A168" s="1">
        <v>166</v>
      </c>
      <c r="B168" t="s">
        <v>57</v>
      </c>
      <c r="C168" s="2">
        <v>44926</v>
      </c>
      <c r="D168">
        <v>235531000</v>
      </c>
    </row>
    <row r="169" spans="1:4" hidden="1" x14ac:dyDescent="0.3">
      <c r="A169" s="1">
        <v>167</v>
      </c>
      <c r="B169" t="s">
        <v>58</v>
      </c>
      <c r="C169" s="2">
        <v>44926</v>
      </c>
      <c r="D169">
        <v>235531000</v>
      </c>
    </row>
    <row r="170" spans="1:4" hidden="1" x14ac:dyDescent="0.3">
      <c r="A170" s="1">
        <v>168</v>
      </c>
      <c r="B170" t="s">
        <v>3</v>
      </c>
      <c r="C170" s="2">
        <v>44561</v>
      </c>
      <c r="D170">
        <v>0</v>
      </c>
    </row>
    <row r="171" spans="1:4" hidden="1" x14ac:dyDescent="0.3">
      <c r="A171" s="1">
        <v>169</v>
      </c>
      <c r="B171" t="s">
        <v>4</v>
      </c>
      <c r="C171" s="2">
        <v>44561</v>
      </c>
      <c r="D171">
        <v>0</v>
      </c>
    </row>
    <row r="172" spans="1:4" hidden="1" x14ac:dyDescent="0.3">
      <c r="A172" s="1">
        <v>170</v>
      </c>
      <c r="B172" t="s">
        <v>5</v>
      </c>
      <c r="C172" s="2">
        <v>44561</v>
      </c>
      <c r="D172">
        <v>23296000</v>
      </c>
    </row>
    <row r="173" spans="1:4" hidden="1" x14ac:dyDescent="0.3">
      <c r="A173" s="1">
        <v>171</v>
      </c>
      <c r="B173" t="s">
        <v>6</v>
      </c>
      <c r="C173" s="2">
        <v>44561</v>
      </c>
      <c r="D173">
        <v>34942000</v>
      </c>
    </row>
    <row r="174" spans="1:4" hidden="1" x14ac:dyDescent="0.3">
      <c r="A174" s="1">
        <v>172</v>
      </c>
      <c r="B174" t="s">
        <v>7</v>
      </c>
      <c r="C174" s="2">
        <v>44561</v>
      </c>
      <c r="D174">
        <v>34942000</v>
      </c>
    </row>
    <row r="175" spans="1:4" hidden="1" x14ac:dyDescent="0.3">
      <c r="A175" s="1">
        <v>173</v>
      </c>
      <c r="B175" t="s">
        <v>8</v>
      </c>
      <c r="C175" s="2">
        <v>44561</v>
      </c>
      <c r="D175">
        <v>210000</v>
      </c>
    </row>
    <row r="176" spans="1:4" x14ac:dyDescent="0.3">
      <c r="A176" s="1">
        <v>174</v>
      </c>
      <c r="B176" t="s">
        <v>9</v>
      </c>
      <c r="C176" s="2">
        <v>44561</v>
      </c>
      <c r="D176">
        <v>10078000</v>
      </c>
    </row>
    <row r="177" spans="1:4" hidden="1" x14ac:dyDescent="0.3">
      <c r="A177" s="1">
        <v>175</v>
      </c>
      <c r="B177" t="s">
        <v>10</v>
      </c>
      <c r="C177" s="2">
        <v>44561</v>
      </c>
      <c r="D177">
        <v>115640000</v>
      </c>
    </row>
    <row r="178" spans="1:4" hidden="1" x14ac:dyDescent="0.3">
      <c r="A178" s="1">
        <v>176</v>
      </c>
      <c r="B178" t="s">
        <v>11</v>
      </c>
      <c r="C178" s="2">
        <v>44561</v>
      </c>
      <c r="D178">
        <v>58238000</v>
      </c>
    </row>
    <row r="179" spans="1:4" hidden="1" x14ac:dyDescent="0.3">
      <c r="A179" s="1">
        <v>177</v>
      </c>
      <c r="B179" t="s">
        <v>12</v>
      </c>
      <c r="C179" s="2">
        <v>44561</v>
      </c>
      <c r="D179">
        <v>47585000</v>
      </c>
    </row>
    <row r="180" spans="1:4" hidden="1" x14ac:dyDescent="0.3">
      <c r="A180" s="1">
        <v>178</v>
      </c>
      <c r="B180" t="s">
        <v>13</v>
      </c>
      <c r="C180" s="2">
        <v>44561</v>
      </c>
      <c r="D180">
        <v>-7467000</v>
      </c>
    </row>
    <row r="181" spans="1:4" hidden="1" x14ac:dyDescent="0.3">
      <c r="A181" s="1">
        <v>179</v>
      </c>
      <c r="B181" t="s">
        <v>14</v>
      </c>
      <c r="C181" s="2">
        <v>44561</v>
      </c>
      <c r="D181">
        <v>6816000</v>
      </c>
    </row>
    <row r="182" spans="1:4" hidden="1" x14ac:dyDescent="0.3">
      <c r="A182" s="1">
        <v>180</v>
      </c>
      <c r="B182" t="s">
        <v>15</v>
      </c>
      <c r="C182" s="2">
        <v>44561</v>
      </c>
      <c r="D182">
        <v>1269000</v>
      </c>
    </row>
    <row r="183" spans="1:4" hidden="1" x14ac:dyDescent="0.3">
      <c r="A183" s="1">
        <v>181</v>
      </c>
      <c r="B183" t="s">
        <v>16</v>
      </c>
      <c r="C183" s="2">
        <v>44561</v>
      </c>
      <c r="D183">
        <v>-34732000</v>
      </c>
    </row>
    <row r="184" spans="1:4" hidden="1" x14ac:dyDescent="0.3">
      <c r="A184" s="1">
        <v>182</v>
      </c>
      <c r="B184" t="s">
        <v>17</v>
      </c>
      <c r="C184" s="2">
        <v>44561</v>
      </c>
      <c r="D184">
        <v>210000</v>
      </c>
    </row>
    <row r="185" spans="1:4" hidden="1" x14ac:dyDescent="0.3">
      <c r="A185" s="1">
        <v>183</v>
      </c>
      <c r="B185" t="s">
        <v>18</v>
      </c>
      <c r="C185" s="2">
        <v>44561</v>
      </c>
      <c r="D185">
        <v>155098000</v>
      </c>
    </row>
    <row r="186" spans="1:4" hidden="1" x14ac:dyDescent="0.3">
      <c r="A186" s="1">
        <v>184</v>
      </c>
      <c r="B186" t="s">
        <v>19</v>
      </c>
      <c r="C186" s="2">
        <v>44561</v>
      </c>
      <c r="D186">
        <v>11026000</v>
      </c>
    </row>
    <row r="187" spans="1:4" hidden="1" x14ac:dyDescent="0.3">
      <c r="A187" s="1">
        <v>185</v>
      </c>
      <c r="B187" t="s">
        <v>20</v>
      </c>
      <c r="C187" s="2">
        <v>44561</v>
      </c>
      <c r="D187">
        <v>25171390</v>
      </c>
    </row>
    <row r="188" spans="1:4" hidden="1" x14ac:dyDescent="0.3">
      <c r="A188" s="1">
        <v>186</v>
      </c>
      <c r="B188" t="s">
        <v>21</v>
      </c>
      <c r="C188" s="2">
        <v>44561</v>
      </c>
      <c r="D188">
        <v>25171390</v>
      </c>
    </row>
    <row r="189" spans="1:4" hidden="1" x14ac:dyDescent="0.3">
      <c r="A189" s="1">
        <v>187</v>
      </c>
      <c r="B189" t="s">
        <v>22</v>
      </c>
      <c r="C189" s="2">
        <v>44561</v>
      </c>
      <c r="D189">
        <v>1.6432549999999999</v>
      </c>
    </row>
    <row r="190" spans="1:4" hidden="1" x14ac:dyDescent="0.3">
      <c r="A190" s="1">
        <v>188</v>
      </c>
      <c r="B190" t="s">
        <v>23</v>
      </c>
      <c r="C190" s="2">
        <v>44561</v>
      </c>
      <c r="D190">
        <v>1.6432549999999999</v>
      </c>
    </row>
    <row r="191" spans="1:4" hidden="1" x14ac:dyDescent="0.3">
      <c r="A191" s="1">
        <v>189</v>
      </c>
      <c r="B191" t="s">
        <v>24</v>
      </c>
      <c r="C191" s="2">
        <v>44561</v>
      </c>
      <c r="D191">
        <v>0</v>
      </c>
    </row>
    <row r="192" spans="1:4" hidden="1" x14ac:dyDescent="0.3">
      <c r="A192" s="1">
        <v>190</v>
      </c>
      <c r="B192" t="s">
        <v>25</v>
      </c>
      <c r="C192" s="2">
        <v>44561</v>
      </c>
      <c r="D192">
        <v>0</v>
      </c>
    </row>
    <row r="193" spans="1:4" hidden="1" x14ac:dyDescent="0.3">
      <c r="A193" s="1">
        <v>191</v>
      </c>
      <c r="B193" t="s">
        <v>26</v>
      </c>
      <c r="C193" s="2">
        <v>44561</v>
      </c>
      <c r="D193">
        <v>210000</v>
      </c>
    </row>
    <row r="194" spans="1:4" hidden="1" x14ac:dyDescent="0.3">
      <c r="A194" s="1">
        <v>192</v>
      </c>
      <c r="B194" t="s">
        <v>27</v>
      </c>
      <c r="C194" s="2">
        <v>44561</v>
      </c>
      <c r="D194">
        <v>210000</v>
      </c>
    </row>
    <row r="195" spans="1:4" hidden="1" x14ac:dyDescent="0.3">
      <c r="A195" s="1">
        <v>193</v>
      </c>
      <c r="B195" t="s">
        <v>28</v>
      </c>
      <c r="C195" s="2">
        <v>44561</v>
      </c>
      <c r="D195">
        <v>-40559000</v>
      </c>
    </row>
    <row r="196" spans="1:4" hidden="1" x14ac:dyDescent="0.3">
      <c r="A196" s="1">
        <v>194</v>
      </c>
      <c r="B196" t="s">
        <v>29</v>
      </c>
      <c r="C196" s="2">
        <v>44561</v>
      </c>
      <c r="D196">
        <v>40769000</v>
      </c>
    </row>
    <row r="197" spans="1:4" hidden="1" x14ac:dyDescent="0.3">
      <c r="A197" s="1">
        <v>195</v>
      </c>
      <c r="B197" t="s">
        <v>30</v>
      </c>
      <c r="C197" s="2">
        <v>44561</v>
      </c>
      <c r="D197">
        <v>40769000</v>
      </c>
    </row>
    <row r="198" spans="1:4" hidden="1" x14ac:dyDescent="0.3">
      <c r="A198" s="1">
        <v>196</v>
      </c>
      <c r="B198" t="s">
        <v>31</v>
      </c>
      <c r="C198" s="2">
        <v>44561</v>
      </c>
      <c r="D198">
        <v>0</v>
      </c>
    </row>
    <row r="199" spans="1:4" hidden="1" x14ac:dyDescent="0.3">
      <c r="A199" s="1">
        <v>197</v>
      </c>
      <c r="B199" t="s">
        <v>32</v>
      </c>
      <c r="C199" s="2">
        <v>44561</v>
      </c>
      <c r="D199">
        <v>40769000</v>
      </c>
    </row>
    <row r="200" spans="1:4" hidden="1" x14ac:dyDescent="0.3">
      <c r="A200" s="1">
        <v>198</v>
      </c>
      <c r="B200" t="s">
        <v>33</v>
      </c>
      <c r="C200" s="2">
        <v>44561</v>
      </c>
      <c r="D200">
        <v>37210000</v>
      </c>
    </row>
    <row r="201" spans="1:4" hidden="1" x14ac:dyDescent="0.3">
      <c r="A201" s="1">
        <v>199</v>
      </c>
      <c r="B201" t="s">
        <v>34</v>
      </c>
      <c r="C201" s="2">
        <v>44561</v>
      </c>
    </row>
    <row r="202" spans="1:4" hidden="1" x14ac:dyDescent="0.3">
      <c r="A202" s="1">
        <v>200</v>
      </c>
      <c r="B202" t="s">
        <v>35</v>
      </c>
      <c r="C202" s="2">
        <v>44561</v>
      </c>
      <c r="D202">
        <v>34843000</v>
      </c>
    </row>
    <row r="203" spans="1:4" hidden="1" x14ac:dyDescent="0.3">
      <c r="A203" s="1">
        <v>201</v>
      </c>
      <c r="B203" t="s">
        <v>36</v>
      </c>
      <c r="C203" s="2">
        <v>44561</v>
      </c>
      <c r="D203">
        <v>0</v>
      </c>
    </row>
    <row r="204" spans="1:4" hidden="1" x14ac:dyDescent="0.3">
      <c r="A204" s="1">
        <v>202</v>
      </c>
      <c r="B204" t="s">
        <v>37</v>
      </c>
      <c r="C204" s="2">
        <v>44561</v>
      </c>
      <c r="D204">
        <v>15025000</v>
      </c>
    </row>
    <row r="205" spans="1:4" hidden="1" x14ac:dyDescent="0.3">
      <c r="A205" s="1">
        <v>203</v>
      </c>
      <c r="B205" t="s">
        <v>38</v>
      </c>
      <c r="C205" s="2">
        <v>44561</v>
      </c>
    </row>
    <row r="206" spans="1:4" hidden="1" x14ac:dyDescent="0.3">
      <c r="A206" s="1">
        <v>204</v>
      </c>
      <c r="B206" t="s">
        <v>39</v>
      </c>
      <c r="C206" s="2">
        <v>44561</v>
      </c>
      <c r="D206">
        <v>0</v>
      </c>
    </row>
    <row r="207" spans="1:4" hidden="1" x14ac:dyDescent="0.3">
      <c r="A207" s="1">
        <v>205</v>
      </c>
      <c r="B207" t="s">
        <v>40</v>
      </c>
      <c r="C207" s="2">
        <v>44561</v>
      </c>
      <c r="D207">
        <v>0</v>
      </c>
    </row>
    <row r="208" spans="1:4" hidden="1" x14ac:dyDescent="0.3">
      <c r="A208" s="1">
        <v>206</v>
      </c>
      <c r="B208" t="s">
        <v>41</v>
      </c>
      <c r="C208" s="2">
        <v>44561</v>
      </c>
      <c r="D208">
        <v>-19818000</v>
      </c>
    </row>
    <row r="209" spans="1:4" hidden="1" x14ac:dyDescent="0.3">
      <c r="A209" s="1">
        <v>207</v>
      </c>
      <c r="B209" t="s">
        <v>42</v>
      </c>
      <c r="C209" s="2">
        <v>44561</v>
      </c>
      <c r="D209">
        <v>2268000</v>
      </c>
    </row>
    <row r="210" spans="1:4" hidden="1" x14ac:dyDescent="0.3">
      <c r="A210" s="1">
        <v>208</v>
      </c>
      <c r="B210" t="s">
        <v>43</v>
      </c>
      <c r="C210" s="2">
        <v>44561</v>
      </c>
      <c r="D210">
        <v>99000</v>
      </c>
    </row>
    <row r="211" spans="1:4" hidden="1" x14ac:dyDescent="0.3">
      <c r="A211" s="1">
        <v>209</v>
      </c>
      <c r="B211" t="s">
        <v>44</v>
      </c>
      <c r="C211" s="2">
        <v>44561</v>
      </c>
      <c r="D211">
        <v>-7467000</v>
      </c>
    </row>
    <row r="212" spans="1:4" hidden="1" x14ac:dyDescent="0.3">
      <c r="A212" s="1">
        <v>210</v>
      </c>
      <c r="B212" t="s">
        <v>45</v>
      </c>
      <c r="C212" s="2">
        <v>44561</v>
      </c>
      <c r="D212">
        <v>1920000</v>
      </c>
    </row>
    <row r="213" spans="1:4" hidden="1" x14ac:dyDescent="0.3">
      <c r="A213" s="1">
        <v>211</v>
      </c>
      <c r="B213" t="s">
        <v>46</v>
      </c>
      <c r="C213" s="2">
        <v>44561</v>
      </c>
      <c r="D213">
        <v>6816000</v>
      </c>
    </row>
    <row r="214" spans="1:4" hidden="1" x14ac:dyDescent="0.3">
      <c r="A214" s="1">
        <v>212</v>
      </c>
      <c r="B214" t="s">
        <v>47</v>
      </c>
      <c r="C214" s="2">
        <v>44561</v>
      </c>
      <c r="D214">
        <v>1269000</v>
      </c>
    </row>
    <row r="215" spans="1:4" hidden="1" x14ac:dyDescent="0.3">
      <c r="A215" s="1">
        <v>213</v>
      </c>
      <c r="B215" t="s">
        <v>48</v>
      </c>
      <c r="C215" s="2">
        <v>44561</v>
      </c>
      <c r="D215">
        <v>11026000</v>
      </c>
    </row>
    <row r="216" spans="1:4" hidden="1" x14ac:dyDescent="0.3">
      <c r="A216" s="1">
        <v>214</v>
      </c>
      <c r="B216" t="s">
        <v>49</v>
      </c>
      <c r="C216" s="2">
        <v>44561</v>
      </c>
      <c r="D216">
        <v>40033000</v>
      </c>
    </row>
    <row r="217" spans="1:4" hidden="1" x14ac:dyDescent="0.3">
      <c r="A217" s="1">
        <v>215</v>
      </c>
      <c r="B217" t="s">
        <v>50</v>
      </c>
      <c r="C217" s="2">
        <v>44561</v>
      </c>
    </row>
    <row r="218" spans="1:4" x14ac:dyDescent="0.3">
      <c r="A218" s="1">
        <v>216</v>
      </c>
      <c r="B218" t="s">
        <v>51</v>
      </c>
      <c r="C218" s="2">
        <v>44561</v>
      </c>
      <c r="D218">
        <v>10653000</v>
      </c>
    </row>
    <row r="219" spans="1:4" x14ac:dyDescent="0.3">
      <c r="A219" s="1">
        <v>217</v>
      </c>
      <c r="B219" t="s">
        <v>52</v>
      </c>
      <c r="C219" s="2">
        <v>44561</v>
      </c>
      <c r="D219">
        <v>10653000</v>
      </c>
    </row>
    <row r="220" spans="1:4" hidden="1" x14ac:dyDescent="0.3">
      <c r="A220" s="1">
        <v>218</v>
      </c>
      <c r="B220" t="s">
        <v>53</v>
      </c>
      <c r="C220" s="2">
        <v>44561</v>
      </c>
    </row>
    <row r="221" spans="1:4" hidden="1" x14ac:dyDescent="0.3">
      <c r="A221" s="1">
        <v>219</v>
      </c>
      <c r="B221" t="s">
        <v>54</v>
      </c>
      <c r="C221" s="2">
        <v>44561</v>
      </c>
      <c r="D221">
        <v>29380000</v>
      </c>
    </row>
    <row r="222" spans="1:4" hidden="1" x14ac:dyDescent="0.3">
      <c r="A222" s="1">
        <v>220</v>
      </c>
      <c r="B222" t="s">
        <v>55</v>
      </c>
      <c r="C222" s="2">
        <v>44561</v>
      </c>
      <c r="D222">
        <v>51059000</v>
      </c>
    </row>
    <row r="223" spans="1:4" hidden="1" x14ac:dyDescent="0.3">
      <c r="A223" s="1">
        <v>221</v>
      </c>
      <c r="B223" t="s">
        <v>56</v>
      </c>
      <c r="C223" s="2">
        <v>44561</v>
      </c>
      <c r="D223">
        <v>115065000</v>
      </c>
    </row>
    <row r="224" spans="1:4" hidden="1" x14ac:dyDescent="0.3">
      <c r="A224" s="1">
        <v>222</v>
      </c>
      <c r="B224" t="s">
        <v>57</v>
      </c>
      <c r="C224" s="2">
        <v>44561</v>
      </c>
      <c r="D224">
        <v>166124000</v>
      </c>
    </row>
    <row r="225" spans="1:4" hidden="1" x14ac:dyDescent="0.3">
      <c r="A225" s="1">
        <v>223</v>
      </c>
      <c r="B225" t="s">
        <v>58</v>
      </c>
      <c r="C225" s="2">
        <v>44561</v>
      </c>
      <c r="D225">
        <v>166124000</v>
      </c>
    </row>
    <row r="226" spans="1:4" hidden="1" x14ac:dyDescent="0.3">
      <c r="A226" s="1">
        <v>224</v>
      </c>
      <c r="B226" t="s">
        <v>3</v>
      </c>
      <c r="C226" s="2">
        <v>44196</v>
      </c>
    </row>
    <row r="227" spans="1:4" hidden="1" x14ac:dyDescent="0.3">
      <c r="A227" s="1">
        <v>225</v>
      </c>
      <c r="B227" t="s">
        <v>4</v>
      </c>
      <c r="C227" s="2">
        <v>44196</v>
      </c>
    </row>
    <row r="228" spans="1:4" hidden="1" x14ac:dyDescent="0.3">
      <c r="A228" s="1">
        <v>226</v>
      </c>
      <c r="B228" t="s">
        <v>5</v>
      </c>
      <c r="C228" s="2">
        <v>44196</v>
      </c>
    </row>
    <row r="229" spans="1:4" hidden="1" x14ac:dyDescent="0.3">
      <c r="A229" s="1">
        <v>227</v>
      </c>
      <c r="B229" t="s">
        <v>6</v>
      </c>
      <c r="C229" s="2">
        <v>44196</v>
      </c>
    </row>
    <row r="230" spans="1:4" hidden="1" x14ac:dyDescent="0.3">
      <c r="A230" s="1">
        <v>228</v>
      </c>
      <c r="B230" t="s">
        <v>7</v>
      </c>
      <c r="C230" s="2">
        <v>44196</v>
      </c>
    </row>
    <row r="231" spans="1:4" hidden="1" x14ac:dyDescent="0.3">
      <c r="A231" s="1">
        <v>229</v>
      </c>
      <c r="B231" t="s">
        <v>8</v>
      </c>
      <c r="C231" s="2">
        <v>44196</v>
      </c>
    </row>
    <row r="232" spans="1:4" x14ac:dyDescent="0.3">
      <c r="A232" s="1">
        <v>230</v>
      </c>
      <c r="B232" t="s">
        <v>9</v>
      </c>
      <c r="C232" s="2">
        <v>44196</v>
      </c>
    </row>
    <row r="233" spans="1:4" hidden="1" x14ac:dyDescent="0.3">
      <c r="A233" s="1">
        <v>231</v>
      </c>
      <c r="B233" t="s">
        <v>10</v>
      </c>
      <c r="C233" s="2">
        <v>44196</v>
      </c>
    </row>
    <row r="234" spans="1:4" hidden="1" x14ac:dyDescent="0.3">
      <c r="A234" s="1">
        <v>232</v>
      </c>
      <c r="B234" t="s">
        <v>11</v>
      </c>
      <c r="C234" s="2">
        <v>44196</v>
      </c>
    </row>
    <row r="235" spans="1:4" hidden="1" x14ac:dyDescent="0.3">
      <c r="A235" s="1">
        <v>233</v>
      </c>
      <c r="B235" t="s">
        <v>12</v>
      </c>
      <c r="C235" s="2">
        <v>44196</v>
      </c>
    </row>
    <row r="236" spans="1:4" hidden="1" x14ac:dyDescent="0.3">
      <c r="A236" s="1">
        <v>234</v>
      </c>
      <c r="B236" t="s">
        <v>13</v>
      </c>
      <c r="C236" s="2">
        <v>44196</v>
      </c>
    </row>
    <row r="237" spans="1:4" hidden="1" x14ac:dyDescent="0.3">
      <c r="A237" s="1">
        <v>235</v>
      </c>
      <c r="B237" t="s">
        <v>14</v>
      </c>
      <c r="C237" s="2">
        <v>44196</v>
      </c>
    </row>
    <row r="238" spans="1:4" hidden="1" x14ac:dyDescent="0.3">
      <c r="A238" s="1">
        <v>236</v>
      </c>
      <c r="B238" t="s">
        <v>15</v>
      </c>
      <c r="C238" s="2">
        <v>44196</v>
      </c>
    </row>
    <row r="239" spans="1:4" hidden="1" x14ac:dyDescent="0.3">
      <c r="A239" s="1">
        <v>237</v>
      </c>
      <c r="B239" t="s">
        <v>16</v>
      </c>
      <c r="C239" s="2">
        <v>44196</v>
      </c>
    </row>
    <row r="240" spans="1:4" hidden="1" x14ac:dyDescent="0.3">
      <c r="A240" s="1">
        <v>238</v>
      </c>
      <c r="B240" t="s">
        <v>17</v>
      </c>
      <c r="C240" s="2">
        <v>44196</v>
      </c>
    </row>
    <row r="241" spans="1:3" hidden="1" x14ac:dyDescent="0.3">
      <c r="A241" s="1">
        <v>239</v>
      </c>
      <c r="B241" t="s">
        <v>18</v>
      </c>
      <c r="C241" s="2">
        <v>44196</v>
      </c>
    </row>
    <row r="242" spans="1:3" hidden="1" x14ac:dyDescent="0.3">
      <c r="A242" s="1">
        <v>240</v>
      </c>
      <c r="B242" t="s">
        <v>19</v>
      </c>
      <c r="C242" s="2">
        <v>44196</v>
      </c>
    </row>
    <row r="243" spans="1:3" hidden="1" x14ac:dyDescent="0.3">
      <c r="A243" s="1">
        <v>241</v>
      </c>
      <c r="B243" t="s">
        <v>20</v>
      </c>
      <c r="C243" s="2">
        <v>44196</v>
      </c>
    </row>
    <row r="244" spans="1:3" hidden="1" x14ac:dyDescent="0.3">
      <c r="A244" s="1">
        <v>242</v>
      </c>
      <c r="B244" t="s">
        <v>21</v>
      </c>
      <c r="C244" s="2">
        <v>44196</v>
      </c>
    </row>
    <row r="245" spans="1:3" hidden="1" x14ac:dyDescent="0.3">
      <c r="A245" s="1">
        <v>243</v>
      </c>
      <c r="B245" t="s">
        <v>22</v>
      </c>
      <c r="C245" s="2">
        <v>44196</v>
      </c>
    </row>
    <row r="246" spans="1:3" hidden="1" x14ac:dyDescent="0.3">
      <c r="A246" s="1">
        <v>244</v>
      </c>
      <c r="B246" t="s">
        <v>23</v>
      </c>
      <c r="C246" s="2">
        <v>44196</v>
      </c>
    </row>
    <row r="247" spans="1:3" hidden="1" x14ac:dyDescent="0.3">
      <c r="A247" s="1">
        <v>245</v>
      </c>
      <c r="B247" t="s">
        <v>24</v>
      </c>
      <c r="C247" s="2">
        <v>44196</v>
      </c>
    </row>
    <row r="248" spans="1:3" hidden="1" x14ac:dyDescent="0.3">
      <c r="A248" s="1">
        <v>246</v>
      </c>
      <c r="B248" t="s">
        <v>25</v>
      </c>
      <c r="C248" s="2">
        <v>44196</v>
      </c>
    </row>
    <row r="249" spans="1:3" hidden="1" x14ac:dyDescent="0.3">
      <c r="A249" s="1">
        <v>247</v>
      </c>
      <c r="B249" t="s">
        <v>26</v>
      </c>
      <c r="C249" s="2">
        <v>44196</v>
      </c>
    </row>
    <row r="250" spans="1:3" hidden="1" x14ac:dyDescent="0.3">
      <c r="A250" s="1">
        <v>248</v>
      </c>
      <c r="B250" t="s">
        <v>27</v>
      </c>
      <c r="C250" s="2">
        <v>44196</v>
      </c>
    </row>
    <row r="251" spans="1:3" hidden="1" x14ac:dyDescent="0.3">
      <c r="A251" s="1">
        <v>249</v>
      </c>
      <c r="B251" t="s">
        <v>28</v>
      </c>
      <c r="C251" s="2">
        <v>44196</v>
      </c>
    </row>
    <row r="252" spans="1:3" hidden="1" x14ac:dyDescent="0.3">
      <c r="A252" s="1">
        <v>250</v>
      </c>
      <c r="B252" t="s">
        <v>29</v>
      </c>
      <c r="C252" s="2">
        <v>44196</v>
      </c>
    </row>
    <row r="253" spans="1:3" hidden="1" x14ac:dyDescent="0.3">
      <c r="A253" s="1">
        <v>251</v>
      </c>
      <c r="B253" t="s">
        <v>30</v>
      </c>
      <c r="C253" s="2">
        <v>44196</v>
      </c>
    </row>
    <row r="254" spans="1:3" hidden="1" x14ac:dyDescent="0.3">
      <c r="A254" s="1">
        <v>252</v>
      </c>
      <c r="B254" t="s">
        <v>31</v>
      </c>
      <c r="C254" s="2">
        <v>44196</v>
      </c>
    </row>
    <row r="255" spans="1:3" hidden="1" x14ac:dyDescent="0.3">
      <c r="A255" s="1">
        <v>253</v>
      </c>
      <c r="B255" t="s">
        <v>32</v>
      </c>
      <c r="C255" s="2">
        <v>44196</v>
      </c>
    </row>
    <row r="256" spans="1:3" hidden="1" x14ac:dyDescent="0.3">
      <c r="A256" s="1">
        <v>254</v>
      </c>
      <c r="B256" t="s">
        <v>33</v>
      </c>
      <c r="C256" s="2">
        <v>44196</v>
      </c>
    </row>
    <row r="257" spans="1:4" hidden="1" x14ac:dyDescent="0.3">
      <c r="A257" s="1">
        <v>255</v>
      </c>
      <c r="B257" t="s">
        <v>34</v>
      </c>
      <c r="C257" s="2">
        <v>44196</v>
      </c>
    </row>
    <row r="258" spans="1:4" hidden="1" x14ac:dyDescent="0.3">
      <c r="A258" s="1">
        <v>256</v>
      </c>
      <c r="B258" t="s">
        <v>35</v>
      </c>
      <c r="C258" s="2">
        <v>44196</v>
      </c>
    </row>
    <row r="259" spans="1:4" hidden="1" x14ac:dyDescent="0.3">
      <c r="A259" s="1">
        <v>257</v>
      </c>
      <c r="B259" t="s">
        <v>36</v>
      </c>
      <c r="C259" s="2">
        <v>44196</v>
      </c>
      <c r="D259">
        <v>-165000</v>
      </c>
    </row>
    <row r="260" spans="1:4" hidden="1" x14ac:dyDescent="0.3">
      <c r="A260" s="1">
        <v>258</v>
      </c>
      <c r="B260" t="s">
        <v>37</v>
      </c>
      <c r="C260" s="2">
        <v>44196</v>
      </c>
    </row>
    <row r="261" spans="1:4" hidden="1" x14ac:dyDescent="0.3">
      <c r="A261" s="1">
        <v>259</v>
      </c>
      <c r="B261" t="s">
        <v>38</v>
      </c>
      <c r="C261" s="2">
        <v>44196</v>
      </c>
      <c r="D261">
        <v>-3084000</v>
      </c>
    </row>
    <row r="262" spans="1:4" hidden="1" x14ac:dyDescent="0.3">
      <c r="A262" s="1">
        <v>260</v>
      </c>
      <c r="B262" t="s">
        <v>39</v>
      </c>
      <c r="C262" s="2">
        <v>44196</v>
      </c>
      <c r="D262">
        <v>17689000</v>
      </c>
    </row>
    <row r="263" spans="1:4" hidden="1" x14ac:dyDescent="0.3">
      <c r="A263" s="1">
        <v>261</v>
      </c>
      <c r="B263" t="s">
        <v>40</v>
      </c>
      <c r="C263" s="2">
        <v>44196</v>
      </c>
      <c r="D263">
        <v>17689000</v>
      </c>
    </row>
    <row r="264" spans="1:4" hidden="1" x14ac:dyDescent="0.3">
      <c r="A264" s="1">
        <v>262</v>
      </c>
      <c r="B264" t="s">
        <v>41</v>
      </c>
      <c r="C264" s="2">
        <v>44196</v>
      </c>
      <c r="D264">
        <v>0</v>
      </c>
    </row>
    <row r="265" spans="1:4" hidden="1" x14ac:dyDescent="0.3">
      <c r="A265" s="1">
        <v>263</v>
      </c>
      <c r="B265" t="s">
        <v>42</v>
      </c>
      <c r="C265" s="2">
        <v>44196</v>
      </c>
    </row>
    <row r="266" spans="1:4" hidden="1" x14ac:dyDescent="0.3">
      <c r="A266" s="1">
        <v>264</v>
      </c>
      <c r="B266" t="s">
        <v>43</v>
      </c>
      <c r="C266" s="2">
        <v>44196</v>
      </c>
    </row>
    <row r="267" spans="1:4" hidden="1" x14ac:dyDescent="0.3">
      <c r="A267" s="1">
        <v>265</v>
      </c>
      <c r="B267" t="s">
        <v>44</v>
      </c>
      <c r="C267" s="2">
        <v>44196</v>
      </c>
    </row>
    <row r="268" spans="1:4" hidden="1" x14ac:dyDescent="0.3">
      <c r="A268" s="1">
        <v>266</v>
      </c>
      <c r="B268" t="s">
        <v>45</v>
      </c>
      <c r="C268" s="2">
        <v>44196</v>
      </c>
    </row>
    <row r="269" spans="1:4" hidden="1" x14ac:dyDescent="0.3">
      <c r="A269" s="1">
        <v>267</v>
      </c>
      <c r="B269" t="s">
        <v>46</v>
      </c>
      <c r="C269" s="2">
        <v>44196</v>
      </c>
    </row>
    <row r="270" spans="1:4" hidden="1" x14ac:dyDescent="0.3">
      <c r="A270" s="1">
        <v>268</v>
      </c>
      <c r="B270" t="s">
        <v>47</v>
      </c>
      <c r="C270" s="2">
        <v>44196</v>
      </c>
    </row>
    <row r="271" spans="1:4" hidden="1" x14ac:dyDescent="0.3">
      <c r="A271" s="1">
        <v>269</v>
      </c>
      <c r="B271" t="s">
        <v>48</v>
      </c>
      <c r="C271" s="2">
        <v>44196</v>
      </c>
    </row>
    <row r="272" spans="1:4" hidden="1" x14ac:dyDescent="0.3">
      <c r="A272" s="1">
        <v>270</v>
      </c>
      <c r="B272" t="s">
        <v>49</v>
      </c>
      <c r="C272" s="2">
        <v>44196</v>
      </c>
    </row>
    <row r="273" spans="1:3" hidden="1" x14ac:dyDescent="0.3">
      <c r="A273" s="1">
        <v>271</v>
      </c>
      <c r="B273" t="s">
        <v>50</v>
      </c>
      <c r="C273" s="2">
        <v>44196</v>
      </c>
    </row>
    <row r="274" spans="1:3" x14ac:dyDescent="0.3">
      <c r="A274" s="1">
        <v>272</v>
      </c>
      <c r="B274" t="s">
        <v>51</v>
      </c>
      <c r="C274" s="2">
        <v>44196</v>
      </c>
    </row>
    <row r="275" spans="1:3" x14ac:dyDescent="0.3">
      <c r="A275" s="1">
        <v>273</v>
      </c>
      <c r="B275" t="s">
        <v>52</v>
      </c>
      <c r="C275" s="2">
        <v>44196</v>
      </c>
    </row>
    <row r="276" spans="1:3" hidden="1" x14ac:dyDescent="0.3">
      <c r="A276" s="1">
        <v>274</v>
      </c>
      <c r="B276" t="s">
        <v>53</v>
      </c>
      <c r="C276" s="2">
        <v>44196</v>
      </c>
    </row>
    <row r="277" spans="1:3" hidden="1" x14ac:dyDescent="0.3">
      <c r="A277" s="1">
        <v>275</v>
      </c>
      <c r="B277" t="s">
        <v>54</v>
      </c>
      <c r="C277" s="2">
        <v>44196</v>
      </c>
    </row>
    <row r="278" spans="1:3" hidden="1" x14ac:dyDescent="0.3">
      <c r="A278" s="1">
        <v>276</v>
      </c>
      <c r="B278" t="s">
        <v>55</v>
      </c>
      <c r="C278" s="2">
        <v>44196</v>
      </c>
    </row>
    <row r="279" spans="1:3" hidden="1" x14ac:dyDescent="0.3">
      <c r="A279" s="1">
        <v>277</v>
      </c>
      <c r="B279" t="s">
        <v>56</v>
      </c>
      <c r="C279" s="2">
        <v>44196</v>
      </c>
    </row>
    <row r="280" spans="1:3" hidden="1" x14ac:dyDescent="0.3">
      <c r="A280" s="1">
        <v>278</v>
      </c>
      <c r="B280" t="s">
        <v>57</v>
      </c>
      <c r="C280" s="2">
        <v>44196</v>
      </c>
    </row>
    <row r="281" spans="1:3" hidden="1" x14ac:dyDescent="0.3">
      <c r="A281" s="1">
        <v>279</v>
      </c>
      <c r="B281" t="s">
        <v>58</v>
      </c>
      <c r="C281" s="2">
        <v>44196</v>
      </c>
    </row>
  </sheetData>
  <autoFilter ref="A1:D281" xr:uid="{00000000-0001-0000-0000-000000000000}">
    <filterColumn colId="1">
      <filters>
        <filter val="Depreciation Amortization Depletion Income Statement"/>
        <filter val="Depreciation And Amortization In Income Statement"/>
        <filter val="Reconciled Depreciation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1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59</v>
      </c>
      <c r="C2" s="2">
        <v>45657</v>
      </c>
      <c r="D2">
        <v>-94206000</v>
      </c>
    </row>
    <row r="3" spans="1:4" x14ac:dyDescent="0.3">
      <c r="A3" s="1">
        <v>1</v>
      </c>
      <c r="B3" t="s">
        <v>60</v>
      </c>
      <c r="C3" s="2">
        <v>45657</v>
      </c>
      <c r="D3">
        <v>0</v>
      </c>
    </row>
    <row r="4" spans="1:4" x14ac:dyDescent="0.3">
      <c r="A4" s="1">
        <v>2</v>
      </c>
      <c r="B4" t="s">
        <v>61</v>
      </c>
      <c r="C4" s="2">
        <v>45657</v>
      </c>
      <c r="D4">
        <v>-1621000</v>
      </c>
    </row>
    <row r="5" spans="1:4" x14ac:dyDescent="0.3">
      <c r="A5" s="1">
        <v>3</v>
      </c>
      <c r="B5" t="s">
        <v>62</v>
      </c>
      <c r="C5" s="2">
        <v>45657</v>
      </c>
      <c r="D5">
        <v>100000000</v>
      </c>
    </row>
    <row r="6" spans="1:4" x14ac:dyDescent="0.3">
      <c r="A6" s="1">
        <v>4</v>
      </c>
      <c r="B6" t="s">
        <v>63</v>
      </c>
      <c r="C6" s="2">
        <v>45657</v>
      </c>
      <c r="D6">
        <v>170000</v>
      </c>
    </row>
    <row r="7" spans="1:4" x14ac:dyDescent="0.3">
      <c r="A7" s="1">
        <v>5</v>
      </c>
      <c r="B7" t="s">
        <v>64</v>
      </c>
      <c r="C7" s="2">
        <v>45657</v>
      </c>
      <c r="D7">
        <v>-127239000</v>
      </c>
    </row>
    <row r="8" spans="1:4" x14ac:dyDescent="0.3">
      <c r="A8" s="1">
        <v>6</v>
      </c>
      <c r="B8" t="s">
        <v>65</v>
      </c>
      <c r="C8" s="2">
        <v>45657</v>
      </c>
      <c r="D8">
        <v>22907000</v>
      </c>
    </row>
    <row r="9" spans="1:4" x14ac:dyDescent="0.3">
      <c r="A9" s="1">
        <v>7</v>
      </c>
      <c r="B9" t="s">
        <v>66</v>
      </c>
      <c r="C9" s="2">
        <v>45657</v>
      </c>
      <c r="D9">
        <v>20000</v>
      </c>
    </row>
    <row r="10" spans="1:4" x14ac:dyDescent="0.3">
      <c r="A10" s="1">
        <v>8</v>
      </c>
      <c r="B10" t="s">
        <v>67</v>
      </c>
      <c r="C10" s="2">
        <v>45657</v>
      </c>
      <c r="D10">
        <v>29228000</v>
      </c>
    </row>
    <row r="11" spans="1:4" x14ac:dyDescent="0.3">
      <c r="A11" s="1">
        <v>9</v>
      </c>
      <c r="B11" t="s">
        <v>68</v>
      </c>
      <c r="C11" s="2">
        <v>45657</v>
      </c>
      <c r="D11">
        <v>47242000</v>
      </c>
    </row>
    <row r="12" spans="1:4" x14ac:dyDescent="0.3">
      <c r="A12" s="1">
        <v>10</v>
      </c>
      <c r="B12" t="s">
        <v>69</v>
      </c>
      <c r="C12" s="2">
        <v>45657</v>
      </c>
      <c r="D12">
        <v>-18014000</v>
      </c>
    </row>
    <row r="13" spans="1:4" x14ac:dyDescent="0.3">
      <c r="A13" s="1">
        <v>11</v>
      </c>
      <c r="B13" t="s">
        <v>70</v>
      </c>
      <c r="C13" s="2">
        <v>45657</v>
      </c>
      <c r="D13">
        <v>83504000</v>
      </c>
    </row>
    <row r="14" spans="1:4" x14ac:dyDescent="0.3">
      <c r="A14" s="1">
        <v>12</v>
      </c>
      <c r="B14" t="s">
        <v>71</v>
      </c>
      <c r="C14" s="2">
        <v>45657</v>
      </c>
      <c r="D14">
        <v>83504000</v>
      </c>
    </row>
    <row r="15" spans="1:4" x14ac:dyDescent="0.3">
      <c r="A15" s="1">
        <v>13</v>
      </c>
      <c r="B15" t="s">
        <v>72</v>
      </c>
      <c r="C15" s="2">
        <v>45657</v>
      </c>
      <c r="D15">
        <v>-1959000</v>
      </c>
    </row>
    <row r="16" spans="1:4" x14ac:dyDescent="0.3">
      <c r="A16" s="1">
        <v>14</v>
      </c>
      <c r="B16" t="s">
        <v>73</v>
      </c>
      <c r="C16" s="2">
        <v>45657</v>
      </c>
    </row>
    <row r="17" spans="1:4" x14ac:dyDescent="0.3">
      <c r="A17" s="1">
        <v>15</v>
      </c>
      <c r="B17" t="s">
        <v>74</v>
      </c>
      <c r="C17" s="2">
        <v>45657</v>
      </c>
    </row>
    <row r="18" spans="1:4" x14ac:dyDescent="0.3">
      <c r="A18" s="1">
        <v>16</v>
      </c>
      <c r="B18" t="s">
        <v>75</v>
      </c>
      <c r="C18" s="2">
        <v>45657</v>
      </c>
      <c r="D18">
        <v>-13086000</v>
      </c>
    </row>
    <row r="19" spans="1:4" x14ac:dyDescent="0.3">
      <c r="A19" s="1">
        <v>17</v>
      </c>
      <c r="B19" t="s">
        <v>76</v>
      </c>
      <c r="C19" s="2">
        <v>45657</v>
      </c>
      <c r="D19">
        <v>-13086000</v>
      </c>
    </row>
    <row r="20" spans="1:4" x14ac:dyDescent="0.3">
      <c r="A20" s="1">
        <v>18</v>
      </c>
      <c r="B20" t="s">
        <v>77</v>
      </c>
      <c r="C20" s="2">
        <v>45657</v>
      </c>
    </row>
    <row r="21" spans="1:4" x14ac:dyDescent="0.3">
      <c r="A21" s="1">
        <v>19</v>
      </c>
      <c r="B21" t="s">
        <v>78</v>
      </c>
      <c r="C21" s="2">
        <v>45657</v>
      </c>
    </row>
    <row r="22" spans="1:4" x14ac:dyDescent="0.3">
      <c r="A22" s="1">
        <v>20</v>
      </c>
      <c r="B22" t="s">
        <v>79</v>
      </c>
      <c r="C22" s="2">
        <v>45657</v>
      </c>
    </row>
    <row r="23" spans="1:4" x14ac:dyDescent="0.3">
      <c r="A23" s="1">
        <v>21</v>
      </c>
      <c r="B23" t="s">
        <v>80</v>
      </c>
      <c r="C23" s="2">
        <v>45657</v>
      </c>
      <c r="D23">
        <v>170000</v>
      </c>
    </row>
    <row r="24" spans="1:4" x14ac:dyDescent="0.3">
      <c r="A24" s="1">
        <v>22</v>
      </c>
      <c r="B24" t="s">
        <v>81</v>
      </c>
      <c r="C24" s="2">
        <v>45657</v>
      </c>
      <c r="D24">
        <v>0</v>
      </c>
    </row>
    <row r="25" spans="1:4" x14ac:dyDescent="0.3">
      <c r="A25" s="1">
        <v>23</v>
      </c>
      <c r="B25" t="s">
        <v>82</v>
      </c>
      <c r="C25" s="2">
        <v>45657</v>
      </c>
      <c r="D25">
        <v>170000</v>
      </c>
    </row>
    <row r="26" spans="1:4" x14ac:dyDescent="0.3">
      <c r="A26" s="1">
        <v>24</v>
      </c>
      <c r="B26" t="s">
        <v>83</v>
      </c>
      <c r="C26" s="2">
        <v>45657</v>
      </c>
      <c r="D26">
        <v>98379000</v>
      </c>
    </row>
    <row r="27" spans="1:4" x14ac:dyDescent="0.3">
      <c r="A27" s="1">
        <v>25</v>
      </c>
      <c r="B27" t="s">
        <v>84</v>
      </c>
      <c r="C27" s="2">
        <v>45657</v>
      </c>
      <c r="D27">
        <v>0</v>
      </c>
    </row>
    <row r="28" spans="1:4" x14ac:dyDescent="0.3">
      <c r="A28" s="1">
        <v>26</v>
      </c>
      <c r="B28" t="s">
        <v>85</v>
      </c>
      <c r="C28" s="2">
        <v>45657</v>
      </c>
      <c r="D28">
        <v>0</v>
      </c>
    </row>
    <row r="29" spans="1:4" x14ac:dyDescent="0.3">
      <c r="A29" s="1">
        <v>27</v>
      </c>
      <c r="B29" t="s">
        <v>86</v>
      </c>
      <c r="C29" s="2">
        <v>45657</v>
      </c>
    </row>
    <row r="30" spans="1:4" x14ac:dyDescent="0.3">
      <c r="A30" s="1">
        <v>28</v>
      </c>
      <c r="B30" t="s">
        <v>87</v>
      </c>
      <c r="C30" s="2">
        <v>45657</v>
      </c>
      <c r="D30">
        <v>98379000</v>
      </c>
    </row>
    <row r="31" spans="1:4" x14ac:dyDescent="0.3">
      <c r="A31" s="1">
        <v>29</v>
      </c>
      <c r="B31" t="s">
        <v>88</v>
      </c>
      <c r="C31" s="2">
        <v>45657</v>
      </c>
      <c r="D31">
        <v>-1621000</v>
      </c>
    </row>
    <row r="32" spans="1:4" x14ac:dyDescent="0.3">
      <c r="A32" s="1">
        <v>30</v>
      </c>
      <c r="B32" t="s">
        <v>89</v>
      </c>
      <c r="C32" s="2">
        <v>45657</v>
      </c>
      <c r="D32">
        <v>100000000</v>
      </c>
    </row>
    <row r="33" spans="1:4" x14ac:dyDescent="0.3">
      <c r="A33" s="1">
        <v>31</v>
      </c>
      <c r="B33" t="s">
        <v>90</v>
      </c>
      <c r="C33" s="2">
        <v>45657</v>
      </c>
      <c r="D33">
        <v>-134551000</v>
      </c>
    </row>
    <row r="34" spans="1:4" x14ac:dyDescent="0.3">
      <c r="A34" s="1">
        <v>32</v>
      </c>
      <c r="B34" t="s">
        <v>91</v>
      </c>
      <c r="C34" s="2">
        <v>45657</v>
      </c>
      <c r="D34">
        <v>-134551000</v>
      </c>
    </row>
    <row r="35" spans="1:4" x14ac:dyDescent="0.3">
      <c r="A35" s="1">
        <v>33</v>
      </c>
      <c r="B35" t="s">
        <v>92</v>
      </c>
      <c r="C35" s="2">
        <v>45657</v>
      </c>
      <c r="D35">
        <v>-750000</v>
      </c>
    </row>
    <row r="36" spans="1:4" x14ac:dyDescent="0.3">
      <c r="A36" s="1">
        <v>34</v>
      </c>
      <c r="B36" t="s">
        <v>93</v>
      </c>
      <c r="C36" s="2">
        <v>45657</v>
      </c>
    </row>
    <row r="37" spans="1:4" x14ac:dyDescent="0.3">
      <c r="A37" s="1">
        <v>35</v>
      </c>
      <c r="B37" t="s">
        <v>94</v>
      </c>
      <c r="C37" s="2">
        <v>45657</v>
      </c>
      <c r="D37">
        <v>4305000</v>
      </c>
    </row>
    <row r="38" spans="1:4" x14ac:dyDescent="0.3">
      <c r="A38" s="1">
        <v>36</v>
      </c>
      <c r="B38" t="s">
        <v>95</v>
      </c>
      <c r="C38" s="2">
        <v>45657</v>
      </c>
      <c r="D38">
        <v>9875000</v>
      </c>
    </row>
    <row r="39" spans="1:4" x14ac:dyDescent="0.3">
      <c r="A39" s="1">
        <v>37</v>
      </c>
      <c r="B39" t="s">
        <v>96</v>
      </c>
      <c r="C39" s="2">
        <v>45657</v>
      </c>
      <c r="D39">
        <v>9875000</v>
      </c>
    </row>
    <row r="40" spans="1:4" x14ac:dyDescent="0.3">
      <c r="A40" s="1">
        <v>38</v>
      </c>
      <c r="B40" t="s">
        <v>97</v>
      </c>
      <c r="C40" s="2">
        <v>45657</v>
      </c>
    </row>
    <row r="41" spans="1:4" x14ac:dyDescent="0.3">
      <c r="A41" s="1">
        <v>39</v>
      </c>
      <c r="B41" t="s">
        <v>98</v>
      </c>
      <c r="C41" s="2">
        <v>45657</v>
      </c>
      <c r="D41">
        <v>-21570000</v>
      </c>
    </row>
    <row r="42" spans="1:4" x14ac:dyDescent="0.3">
      <c r="A42" s="1">
        <v>40</v>
      </c>
      <c r="B42" t="s">
        <v>99</v>
      </c>
      <c r="C42" s="2">
        <v>45657</v>
      </c>
    </row>
    <row r="43" spans="1:4" x14ac:dyDescent="0.3">
      <c r="A43" s="1">
        <v>41</v>
      </c>
      <c r="B43" t="s">
        <v>100</v>
      </c>
      <c r="C43" s="2">
        <v>45657</v>
      </c>
      <c r="D43">
        <v>-21570000</v>
      </c>
    </row>
    <row r="44" spans="1:4" x14ac:dyDescent="0.3">
      <c r="A44" s="1">
        <v>42</v>
      </c>
      <c r="B44" t="s">
        <v>101</v>
      </c>
      <c r="C44" s="2">
        <v>45657</v>
      </c>
    </row>
    <row r="45" spans="1:4" x14ac:dyDescent="0.3">
      <c r="A45" s="1">
        <v>43</v>
      </c>
      <c r="B45" t="s">
        <v>102</v>
      </c>
      <c r="C45" s="2">
        <v>45657</v>
      </c>
    </row>
    <row r="46" spans="1:4" x14ac:dyDescent="0.3">
      <c r="A46" s="1">
        <v>44</v>
      </c>
      <c r="B46" t="s">
        <v>103</v>
      </c>
      <c r="C46" s="2">
        <v>45657</v>
      </c>
      <c r="D46">
        <v>-126411000</v>
      </c>
    </row>
    <row r="47" spans="1:4" x14ac:dyDescent="0.3">
      <c r="A47" s="1">
        <v>45</v>
      </c>
      <c r="B47" t="s">
        <v>104</v>
      </c>
      <c r="C47" s="2">
        <v>45657</v>
      </c>
      <c r="D47">
        <v>828000</v>
      </c>
    </row>
    <row r="48" spans="1:4" x14ac:dyDescent="0.3">
      <c r="A48" s="1">
        <v>46</v>
      </c>
      <c r="B48" t="s">
        <v>105</v>
      </c>
      <c r="C48" s="2">
        <v>45657</v>
      </c>
      <c r="D48">
        <v>-127239000</v>
      </c>
    </row>
    <row r="49" spans="1:4" x14ac:dyDescent="0.3">
      <c r="A49" s="1">
        <v>47</v>
      </c>
      <c r="B49" t="s">
        <v>106</v>
      </c>
      <c r="C49" s="2">
        <v>45657</v>
      </c>
      <c r="D49">
        <v>33033000</v>
      </c>
    </row>
    <row r="50" spans="1:4" x14ac:dyDescent="0.3">
      <c r="A50" s="1">
        <v>48</v>
      </c>
      <c r="B50" t="s">
        <v>107</v>
      </c>
      <c r="C50" s="2">
        <v>45657</v>
      </c>
      <c r="D50">
        <v>33033000</v>
      </c>
    </row>
    <row r="51" spans="1:4" x14ac:dyDescent="0.3">
      <c r="A51" s="1">
        <v>49</v>
      </c>
      <c r="B51" t="s">
        <v>108</v>
      </c>
      <c r="C51" s="2">
        <v>45657</v>
      </c>
      <c r="D51">
        <v>14336000</v>
      </c>
    </row>
    <row r="52" spans="1:4" x14ac:dyDescent="0.3">
      <c r="A52" s="1">
        <v>50</v>
      </c>
      <c r="B52" t="s">
        <v>109</v>
      </c>
      <c r="C52" s="2">
        <v>45657</v>
      </c>
      <c r="D52">
        <v>-9184000</v>
      </c>
    </row>
    <row r="53" spans="1:4" x14ac:dyDescent="0.3">
      <c r="A53" s="1">
        <v>51</v>
      </c>
      <c r="B53" t="s">
        <v>110</v>
      </c>
      <c r="C53" s="2">
        <v>45657</v>
      </c>
      <c r="D53">
        <v>2961000</v>
      </c>
    </row>
    <row r="54" spans="1:4" x14ac:dyDescent="0.3">
      <c r="A54" s="1">
        <v>52</v>
      </c>
      <c r="B54" t="s">
        <v>111</v>
      </c>
      <c r="C54" s="2">
        <v>45657</v>
      </c>
      <c r="D54">
        <v>1281000</v>
      </c>
    </row>
    <row r="55" spans="1:4" x14ac:dyDescent="0.3">
      <c r="A55" s="1">
        <v>53</v>
      </c>
      <c r="B55" t="s">
        <v>112</v>
      </c>
      <c r="C55" s="2">
        <v>45657</v>
      </c>
      <c r="D55">
        <v>-6142000</v>
      </c>
    </row>
    <row r="56" spans="1:4" x14ac:dyDescent="0.3">
      <c r="A56" s="1">
        <v>54</v>
      </c>
      <c r="B56" t="s">
        <v>113</v>
      </c>
      <c r="C56" s="2">
        <v>45657</v>
      </c>
      <c r="D56">
        <v>3923000</v>
      </c>
    </row>
    <row r="57" spans="1:4" x14ac:dyDescent="0.3">
      <c r="A57" s="1">
        <v>55</v>
      </c>
      <c r="B57" t="s">
        <v>114</v>
      </c>
      <c r="C57" s="2">
        <v>45657</v>
      </c>
      <c r="D57">
        <v>632000</v>
      </c>
    </row>
    <row r="58" spans="1:4" x14ac:dyDescent="0.3">
      <c r="A58" s="1">
        <v>56</v>
      </c>
      <c r="B58" t="s">
        <v>115</v>
      </c>
      <c r="C58" s="2">
        <v>45657</v>
      </c>
      <c r="D58">
        <v>3291000</v>
      </c>
    </row>
    <row r="59" spans="1:4" x14ac:dyDescent="0.3">
      <c r="A59" s="1">
        <v>57</v>
      </c>
      <c r="B59" t="s">
        <v>116</v>
      </c>
      <c r="C59" s="2">
        <v>45657</v>
      </c>
      <c r="D59">
        <v>3427000</v>
      </c>
    </row>
    <row r="60" spans="1:4" x14ac:dyDescent="0.3">
      <c r="A60" s="1">
        <v>58</v>
      </c>
      <c r="B60" t="s">
        <v>117</v>
      </c>
      <c r="C60" s="2">
        <v>45657</v>
      </c>
      <c r="D60">
        <v>-136000</v>
      </c>
    </row>
    <row r="61" spans="1:4" x14ac:dyDescent="0.3">
      <c r="A61" s="1">
        <v>59</v>
      </c>
      <c r="B61" t="s">
        <v>118</v>
      </c>
      <c r="C61" s="2">
        <v>45657</v>
      </c>
      <c r="D61">
        <v>-136000</v>
      </c>
    </row>
    <row r="62" spans="1:4" x14ac:dyDescent="0.3">
      <c r="A62" s="1">
        <v>60</v>
      </c>
      <c r="B62" t="s">
        <v>119</v>
      </c>
      <c r="C62" s="2">
        <v>45657</v>
      </c>
      <c r="D62">
        <v>-5312000</v>
      </c>
    </row>
    <row r="63" spans="1:4" x14ac:dyDescent="0.3">
      <c r="A63" s="1">
        <v>61</v>
      </c>
      <c r="B63" t="s">
        <v>120</v>
      </c>
      <c r="C63" s="2">
        <v>45657</v>
      </c>
      <c r="D63">
        <v>-1015000</v>
      </c>
    </row>
    <row r="64" spans="1:4" x14ac:dyDescent="0.3">
      <c r="A64" s="1">
        <v>62</v>
      </c>
      <c r="B64" t="s">
        <v>121</v>
      </c>
      <c r="C64" s="2">
        <v>45657</v>
      </c>
      <c r="D64">
        <v>-4880000</v>
      </c>
    </row>
    <row r="65" spans="1:4" x14ac:dyDescent="0.3">
      <c r="A65" s="1">
        <v>63</v>
      </c>
      <c r="B65" t="s">
        <v>122</v>
      </c>
      <c r="C65" s="2">
        <v>45657</v>
      </c>
      <c r="D65">
        <v>-301000</v>
      </c>
    </row>
    <row r="66" spans="1:4" x14ac:dyDescent="0.3">
      <c r="A66" s="1">
        <v>64</v>
      </c>
      <c r="B66" t="s">
        <v>123</v>
      </c>
      <c r="C66" s="2">
        <v>45657</v>
      </c>
      <c r="D66">
        <v>-284000</v>
      </c>
    </row>
    <row r="67" spans="1:4" x14ac:dyDescent="0.3">
      <c r="A67" s="1">
        <v>65</v>
      </c>
      <c r="B67" t="s">
        <v>124</v>
      </c>
      <c r="C67" s="2">
        <v>45657</v>
      </c>
      <c r="D67">
        <v>6452000</v>
      </c>
    </row>
    <row r="68" spans="1:4" x14ac:dyDescent="0.3">
      <c r="A68" s="1">
        <v>66</v>
      </c>
      <c r="B68" t="s">
        <v>125</v>
      </c>
      <c r="C68" s="2">
        <v>45657</v>
      </c>
    </row>
    <row r="69" spans="1:4" x14ac:dyDescent="0.3">
      <c r="A69" s="1">
        <v>67</v>
      </c>
      <c r="B69" t="s">
        <v>126</v>
      </c>
      <c r="C69" s="2">
        <v>45657</v>
      </c>
      <c r="D69">
        <v>85000</v>
      </c>
    </row>
    <row r="70" spans="1:4" x14ac:dyDescent="0.3">
      <c r="A70" s="1">
        <v>68</v>
      </c>
      <c r="B70" t="s">
        <v>127</v>
      </c>
      <c r="C70" s="2">
        <v>45657</v>
      </c>
      <c r="D70">
        <v>2016000</v>
      </c>
    </row>
    <row r="71" spans="1:4" x14ac:dyDescent="0.3">
      <c r="A71" s="1">
        <v>69</v>
      </c>
      <c r="B71" t="s">
        <v>128</v>
      </c>
      <c r="C71" s="2">
        <v>45657</v>
      </c>
      <c r="D71">
        <v>18129000</v>
      </c>
    </row>
    <row r="72" spans="1:4" x14ac:dyDescent="0.3">
      <c r="A72" s="1">
        <v>70</v>
      </c>
      <c r="B72" t="s">
        <v>129</v>
      </c>
      <c r="C72" s="2">
        <v>45657</v>
      </c>
      <c r="D72">
        <v>18129000</v>
      </c>
    </row>
    <row r="73" spans="1:4" x14ac:dyDescent="0.3">
      <c r="A73" s="1">
        <v>71</v>
      </c>
      <c r="B73" t="s">
        <v>130</v>
      </c>
      <c r="C73" s="2">
        <v>45657</v>
      </c>
      <c r="D73">
        <v>18129000</v>
      </c>
    </row>
    <row r="74" spans="1:4" x14ac:dyDescent="0.3">
      <c r="A74" s="1">
        <v>72</v>
      </c>
      <c r="B74" t="s">
        <v>131</v>
      </c>
      <c r="C74" s="2">
        <v>45657</v>
      </c>
      <c r="D74">
        <v>-12842000</v>
      </c>
    </row>
    <row r="75" spans="1:4" x14ac:dyDescent="0.3">
      <c r="A75" s="1">
        <v>73</v>
      </c>
      <c r="B75" t="s">
        <v>132</v>
      </c>
      <c r="C75" s="2">
        <v>45657</v>
      </c>
      <c r="D75">
        <v>-13235000</v>
      </c>
    </row>
    <row r="76" spans="1:4" x14ac:dyDescent="0.3">
      <c r="A76" s="1">
        <v>74</v>
      </c>
      <c r="B76" t="s">
        <v>133</v>
      </c>
      <c r="C76" s="2">
        <v>45657</v>
      </c>
      <c r="D76">
        <v>704000</v>
      </c>
    </row>
    <row r="77" spans="1:4" x14ac:dyDescent="0.3">
      <c r="A77" s="1">
        <v>75</v>
      </c>
      <c r="B77" t="s">
        <v>134</v>
      </c>
      <c r="C77" s="2">
        <v>45657</v>
      </c>
      <c r="D77">
        <v>-311000</v>
      </c>
    </row>
    <row r="78" spans="1:4" x14ac:dyDescent="0.3">
      <c r="A78" s="1">
        <v>76</v>
      </c>
      <c r="B78" t="s">
        <v>135</v>
      </c>
      <c r="C78" s="2">
        <v>45657</v>
      </c>
      <c r="D78">
        <v>0</v>
      </c>
    </row>
    <row r="79" spans="1:4" x14ac:dyDescent="0.3">
      <c r="A79" s="1">
        <v>77</v>
      </c>
      <c r="B79" t="s">
        <v>136</v>
      </c>
      <c r="C79" s="2">
        <v>45657</v>
      </c>
      <c r="D79">
        <v>14325000</v>
      </c>
    </row>
    <row r="80" spans="1:4" x14ac:dyDescent="0.3">
      <c r="A80" s="1">
        <v>78</v>
      </c>
      <c r="B80" t="s">
        <v>59</v>
      </c>
      <c r="C80" s="2">
        <v>45291</v>
      </c>
      <c r="D80">
        <v>-75557000</v>
      </c>
    </row>
    <row r="81" spans="1:4" x14ac:dyDescent="0.3">
      <c r="A81" s="1">
        <v>79</v>
      </c>
      <c r="B81" t="s">
        <v>60</v>
      </c>
      <c r="C81" s="2">
        <v>45291</v>
      </c>
      <c r="D81">
        <v>-16391000</v>
      </c>
    </row>
    <row r="82" spans="1:4" x14ac:dyDescent="0.3">
      <c r="A82" s="1">
        <v>80</v>
      </c>
      <c r="B82" t="s">
        <v>61</v>
      </c>
      <c r="C82" s="2">
        <v>45291</v>
      </c>
      <c r="D82">
        <v>-160562000</v>
      </c>
    </row>
    <row r="83" spans="1:4" x14ac:dyDescent="0.3">
      <c r="A83" s="1">
        <v>81</v>
      </c>
      <c r="B83" t="s">
        <v>62</v>
      </c>
      <c r="C83" s="2">
        <v>45291</v>
      </c>
      <c r="D83">
        <v>196920000</v>
      </c>
    </row>
    <row r="84" spans="1:4" x14ac:dyDescent="0.3">
      <c r="A84" s="1">
        <v>82</v>
      </c>
      <c r="B84" t="s">
        <v>63</v>
      </c>
      <c r="C84" s="2">
        <v>45291</v>
      </c>
      <c r="D84">
        <v>366000</v>
      </c>
    </row>
    <row r="85" spans="1:4" x14ac:dyDescent="0.3">
      <c r="A85" s="1">
        <v>83</v>
      </c>
      <c r="B85" t="s">
        <v>64</v>
      </c>
      <c r="C85" s="2">
        <v>45291</v>
      </c>
      <c r="D85">
        <v>-113826000</v>
      </c>
    </row>
    <row r="86" spans="1:4" x14ac:dyDescent="0.3">
      <c r="A86" s="1">
        <v>84</v>
      </c>
      <c r="B86" t="s">
        <v>65</v>
      </c>
      <c r="C86" s="2">
        <v>45291</v>
      </c>
      <c r="D86">
        <v>6929000</v>
      </c>
    </row>
    <row r="87" spans="1:4" x14ac:dyDescent="0.3">
      <c r="A87" s="1">
        <v>85</v>
      </c>
      <c r="B87" t="s">
        <v>66</v>
      </c>
      <c r="C87" s="2">
        <v>45291</v>
      </c>
      <c r="D87">
        <v>0</v>
      </c>
    </row>
    <row r="88" spans="1:4" x14ac:dyDescent="0.3">
      <c r="A88" s="1">
        <v>86</v>
      </c>
      <c r="B88" t="s">
        <v>67</v>
      </c>
      <c r="C88" s="2">
        <v>45291</v>
      </c>
      <c r="D88">
        <v>47242000</v>
      </c>
    </row>
    <row r="89" spans="1:4" x14ac:dyDescent="0.3">
      <c r="A89" s="1">
        <v>87</v>
      </c>
      <c r="B89" t="s">
        <v>68</v>
      </c>
      <c r="C89" s="2">
        <v>45291</v>
      </c>
      <c r="D89">
        <v>77221000</v>
      </c>
    </row>
    <row r="90" spans="1:4" x14ac:dyDescent="0.3">
      <c r="A90" s="1">
        <v>88</v>
      </c>
      <c r="B90" t="s">
        <v>69</v>
      </c>
      <c r="C90" s="2">
        <v>45291</v>
      </c>
      <c r="D90">
        <v>-29979000</v>
      </c>
    </row>
    <row r="91" spans="1:4" x14ac:dyDescent="0.3">
      <c r="A91" s="1">
        <v>89</v>
      </c>
      <c r="B91" t="s">
        <v>70</v>
      </c>
      <c r="C91" s="2">
        <v>45291</v>
      </c>
      <c r="D91">
        <v>5899000</v>
      </c>
    </row>
    <row r="92" spans="1:4" x14ac:dyDescent="0.3">
      <c r="A92" s="1">
        <v>90</v>
      </c>
      <c r="B92" t="s">
        <v>71</v>
      </c>
      <c r="C92" s="2">
        <v>45291</v>
      </c>
      <c r="D92">
        <v>5899000</v>
      </c>
    </row>
    <row r="93" spans="1:4" x14ac:dyDescent="0.3">
      <c r="A93" s="1">
        <v>91</v>
      </c>
      <c r="B93" t="s">
        <v>72</v>
      </c>
      <c r="C93" s="2">
        <v>45291</v>
      </c>
      <c r="D93">
        <v>2102000</v>
      </c>
    </row>
    <row r="94" spans="1:4" x14ac:dyDescent="0.3">
      <c r="A94" s="1">
        <v>92</v>
      </c>
      <c r="B94" t="s">
        <v>73</v>
      </c>
      <c r="C94" s="2">
        <v>45291</v>
      </c>
    </row>
    <row r="95" spans="1:4" x14ac:dyDescent="0.3">
      <c r="A95" s="1">
        <v>93</v>
      </c>
      <c r="B95" t="s">
        <v>74</v>
      </c>
      <c r="C95" s="2">
        <v>45291</v>
      </c>
      <c r="D95">
        <v>-16391000</v>
      </c>
    </row>
    <row r="96" spans="1:4" x14ac:dyDescent="0.3">
      <c r="A96" s="1">
        <v>94</v>
      </c>
      <c r="B96" t="s">
        <v>75</v>
      </c>
      <c r="C96" s="2">
        <v>45291</v>
      </c>
      <c r="D96">
        <v>-16536000</v>
      </c>
    </row>
    <row r="97" spans="1:4" x14ac:dyDescent="0.3">
      <c r="A97" s="1">
        <v>95</v>
      </c>
      <c r="B97" t="s">
        <v>76</v>
      </c>
      <c r="C97" s="2">
        <v>45291</v>
      </c>
      <c r="D97">
        <v>-16536000</v>
      </c>
    </row>
    <row r="98" spans="1:4" x14ac:dyDescent="0.3">
      <c r="A98" s="1">
        <v>96</v>
      </c>
      <c r="B98" t="s">
        <v>77</v>
      </c>
      <c r="C98" s="2">
        <v>45291</v>
      </c>
    </row>
    <row r="99" spans="1:4" x14ac:dyDescent="0.3">
      <c r="A99" s="1">
        <v>97</v>
      </c>
      <c r="B99" t="s">
        <v>78</v>
      </c>
      <c r="C99" s="2">
        <v>45291</v>
      </c>
      <c r="D99">
        <v>0</v>
      </c>
    </row>
    <row r="100" spans="1:4" x14ac:dyDescent="0.3">
      <c r="A100" s="1">
        <v>98</v>
      </c>
      <c r="B100" t="s">
        <v>79</v>
      </c>
      <c r="C100" s="2">
        <v>45291</v>
      </c>
      <c r="D100">
        <v>0</v>
      </c>
    </row>
    <row r="101" spans="1:4" x14ac:dyDescent="0.3">
      <c r="A101" s="1">
        <v>99</v>
      </c>
      <c r="B101" t="s">
        <v>80</v>
      </c>
      <c r="C101" s="2">
        <v>45291</v>
      </c>
      <c r="D101">
        <v>-16025000</v>
      </c>
    </row>
    <row r="102" spans="1:4" x14ac:dyDescent="0.3">
      <c r="A102" s="1">
        <v>100</v>
      </c>
      <c r="B102" t="s">
        <v>81</v>
      </c>
      <c r="C102" s="2">
        <v>45291</v>
      </c>
      <c r="D102">
        <v>-16391000</v>
      </c>
    </row>
    <row r="103" spans="1:4" x14ac:dyDescent="0.3">
      <c r="A103" s="1">
        <v>101</v>
      </c>
      <c r="B103" t="s">
        <v>82</v>
      </c>
      <c r="C103" s="2">
        <v>45291</v>
      </c>
      <c r="D103">
        <v>366000</v>
      </c>
    </row>
    <row r="104" spans="1:4" x14ac:dyDescent="0.3">
      <c r="A104" s="1">
        <v>102</v>
      </c>
      <c r="B104" t="s">
        <v>83</v>
      </c>
      <c r="C104" s="2">
        <v>45291</v>
      </c>
      <c r="D104">
        <v>36358000</v>
      </c>
    </row>
    <row r="105" spans="1:4" x14ac:dyDescent="0.3">
      <c r="A105" s="1">
        <v>103</v>
      </c>
      <c r="B105" t="s">
        <v>84</v>
      </c>
      <c r="C105" s="2">
        <v>45291</v>
      </c>
      <c r="D105">
        <v>-22750000</v>
      </c>
    </row>
    <row r="106" spans="1:4" x14ac:dyDescent="0.3">
      <c r="A106" s="1">
        <v>104</v>
      </c>
      <c r="B106" t="s">
        <v>85</v>
      </c>
      <c r="C106" s="2">
        <v>45291</v>
      </c>
      <c r="D106">
        <v>-22750000</v>
      </c>
    </row>
    <row r="107" spans="1:4" x14ac:dyDescent="0.3">
      <c r="A107" s="1">
        <v>105</v>
      </c>
      <c r="B107" t="s">
        <v>86</v>
      </c>
      <c r="C107" s="2">
        <v>45291</v>
      </c>
    </row>
    <row r="108" spans="1:4" x14ac:dyDescent="0.3">
      <c r="A108" s="1">
        <v>106</v>
      </c>
      <c r="B108" t="s">
        <v>87</v>
      </c>
      <c r="C108" s="2">
        <v>45291</v>
      </c>
      <c r="D108">
        <v>59108000</v>
      </c>
    </row>
    <row r="109" spans="1:4" x14ac:dyDescent="0.3">
      <c r="A109" s="1">
        <v>107</v>
      </c>
      <c r="B109" t="s">
        <v>88</v>
      </c>
      <c r="C109" s="2">
        <v>45291</v>
      </c>
      <c r="D109">
        <v>-137812000</v>
      </c>
    </row>
    <row r="110" spans="1:4" x14ac:dyDescent="0.3">
      <c r="A110" s="1">
        <v>108</v>
      </c>
      <c r="B110" t="s">
        <v>89</v>
      </c>
      <c r="C110" s="2">
        <v>45291</v>
      </c>
      <c r="D110">
        <v>196920000</v>
      </c>
    </row>
    <row r="111" spans="1:4" x14ac:dyDescent="0.3">
      <c r="A111" s="1">
        <v>109</v>
      </c>
      <c r="B111" t="s">
        <v>90</v>
      </c>
      <c r="C111" s="2">
        <v>45291</v>
      </c>
      <c r="D111">
        <v>-74147000</v>
      </c>
    </row>
    <row r="112" spans="1:4" x14ac:dyDescent="0.3">
      <c r="A112" s="1">
        <v>110</v>
      </c>
      <c r="B112" t="s">
        <v>91</v>
      </c>
      <c r="C112" s="2">
        <v>45291</v>
      </c>
      <c r="D112">
        <v>-74147000</v>
      </c>
    </row>
    <row r="113" spans="1:4" x14ac:dyDescent="0.3">
      <c r="A113" s="1">
        <v>111</v>
      </c>
      <c r="B113" t="s">
        <v>92</v>
      </c>
      <c r="C113" s="2">
        <v>45291</v>
      </c>
    </row>
    <row r="114" spans="1:4" x14ac:dyDescent="0.3">
      <c r="A114" s="1">
        <v>112</v>
      </c>
      <c r="B114" t="s">
        <v>93</v>
      </c>
      <c r="C114" s="2">
        <v>45291</v>
      </c>
    </row>
    <row r="115" spans="1:4" x14ac:dyDescent="0.3">
      <c r="A115" s="1">
        <v>113</v>
      </c>
      <c r="B115" t="s">
        <v>94</v>
      </c>
      <c r="C115" s="2">
        <v>45291</v>
      </c>
      <c r="D115">
        <v>4839000</v>
      </c>
    </row>
    <row r="116" spans="1:4" x14ac:dyDescent="0.3">
      <c r="A116" s="1">
        <v>114</v>
      </c>
      <c r="B116" t="s">
        <v>95</v>
      </c>
      <c r="C116" s="2">
        <v>45291</v>
      </c>
      <c r="D116">
        <v>55101000</v>
      </c>
    </row>
    <row r="117" spans="1:4" x14ac:dyDescent="0.3">
      <c r="A117" s="1">
        <v>115</v>
      </c>
      <c r="B117" t="s">
        <v>96</v>
      </c>
      <c r="C117" s="2">
        <v>45291</v>
      </c>
      <c r="D117">
        <v>55101000</v>
      </c>
    </row>
    <row r="118" spans="1:4" x14ac:dyDescent="0.3">
      <c r="A118" s="1">
        <v>116</v>
      </c>
      <c r="B118" t="s">
        <v>97</v>
      </c>
      <c r="C118" s="2">
        <v>45291</v>
      </c>
    </row>
    <row r="119" spans="1:4" x14ac:dyDescent="0.3">
      <c r="A119" s="1">
        <v>117</v>
      </c>
      <c r="B119" t="s">
        <v>98</v>
      </c>
      <c r="C119" s="2">
        <v>45291</v>
      </c>
      <c r="D119">
        <v>-20261000</v>
      </c>
    </row>
    <row r="120" spans="1:4" x14ac:dyDescent="0.3">
      <c r="A120" s="1">
        <v>118</v>
      </c>
      <c r="B120" t="s">
        <v>99</v>
      </c>
      <c r="C120" s="2">
        <v>45291</v>
      </c>
    </row>
    <row r="121" spans="1:4" x14ac:dyDescent="0.3">
      <c r="A121" s="1">
        <v>119</v>
      </c>
      <c r="B121" t="s">
        <v>100</v>
      </c>
      <c r="C121" s="2">
        <v>45291</v>
      </c>
      <c r="D121">
        <v>-20261000</v>
      </c>
    </row>
    <row r="122" spans="1:4" x14ac:dyDescent="0.3">
      <c r="A122" s="1">
        <v>120</v>
      </c>
      <c r="B122" t="s">
        <v>101</v>
      </c>
      <c r="C122" s="2">
        <v>45291</v>
      </c>
    </row>
    <row r="123" spans="1:4" x14ac:dyDescent="0.3">
      <c r="A123" s="1">
        <v>121</v>
      </c>
      <c r="B123" t="s">
        <v>102</v>
      </c>
      <c r="C123" s="2">
        <v>45291</v>
      </c>
    </row>
    <row r="124" spans="1:4" x14ac:dyDescent="0.3">
      <c r="A124" s="1">
        <v>122</v>
      </c>
      <c r="B124" t="s">
        <v>103</v>
      </c>
      <c r="C124" s="2">
        <v>45291</v>
      </c>
      <c r="D124">
        <v>-113826000</v>
      </c>
    </row>
    <row r="125" spans="1:4" x14ac:dyDescent="0.3">
      <c r="A125" s="1">
        <v>123</v>
      </c>
      <c r="B125" t="s">
        <v>104</v>
      </c>
      <c r="C125" s="2">
        <v>45291</v>
      </c>
      <c r="D125">
        <v>0</v>
      </c>
    </row>
    <row r="126" spans="1:4" x14ac:dyDescent="0.3">
      <c r="A126" s="1">
        <v>124</v>
      </c>
      <c r="B126" t="s">
        <v>105</v>
      </c>
      <c r="C126" s="2">
        <v>45291</v>
      </c>
      <c r="D126">
        <v>-113826000</v>
      </c>
    </row>
    <row r="127" spans="1:4" x14ac:dyDescent="0.3">
      <c r="A127" s="1">
        <v>125</v>
      </c>
      <c r="B127" t="s">
        <v>106</v>
      </c>
      <c r="C127" s="2">
        <v>45291</v>
      </c>
      <c r="D127">
        <v>38269000</v>
      </c>
    </row>
    <row r="128" spans="1:4" x14ac:dyDescent="0.3">
      <c r="A128" s="1">
        <v>126</v>
      </c>
      <c r="B128" t="s">
        <v>107</v>
      </c>
      <c r="C128" s="2">
        <v>45291</v>
      </c>
      <c r="D128">
        <v>38269000</v>
      </c>
    </row>
    <row r="129" spans="1:4" x14ac:dyDescent="0.3">
      <c r="A129" s="1">
        <v>127</v>
      </c>
      <c r="B129" t="s">
        <v>108</v>
      </c>
      <c r="C129" s="2">
        <v>45291</v>
      </c>
      <c r="D129">
        <v>12242000</v>
      </c>
    </row>
    <row r="130" spans="1:4" x14ac:dyDescent="0.3">
      <c r="A130" s="1">
        <v>128</v>
      </c>
      <c r="B130" t="s">
        <v>109</v>
      </c>
      <c r="C130" s="2">
        <v>45291</v>
      </c>
      <c r="D130">
        <v>7464000</v>
      </c>
    </row>
    <row r="131" spans="1:4" x14ac:dyDescent="0.3">
      <c r="A131" s="1">
        <v>129</v>
      </c>
      <c r="B131" t="s">
        <v>110</v>
      </c>
      <c r="C131" s="2">
        <v>45291</v>
      </c>
      <c r="D131">
        <v>-1699000</v>
      </c>
    </row>
    <row r="132" spans="1:4" x14ac:dyDescent="0.3">
      <c r="A132" s="1">
        <v>130</v>
      </c>
      <c r="B132" t="s">
        <v>111</v>
      </c>
      <c r="C132" s="2">
        <v>45291</v>
      </c>
      <c r="D132">
        <v>-2572000</v>
      </c>
    </row>
    <row r="133" spans="1:4" x14ac:dyDescent="0.3">
      <c r="A133" s="1">
        <v>131</v>
      </c>
      <c r="B133" t="s">
        <v>112</v>
      </c>
      <c r="C133" s="2">
        <v>45291</v>
      </c>
      <c r="D133">
        <v>1502000</v>
      </c>
    </row>
    <row r="134" spans="1:4" x14ac:dyDescent="0.3">
      <c r="A134" s="1">
        <v>132</v>
      </c>
      <c r="B134" t="s">
        <v>113</v>
      </c>
      <c r="C134" s="2">
        <v>45291</v>
      </c>
      <c r="D134">
        <v>12491000</v>
      </c>
    </row>
    <row r="135" spans="1:4" x14ac:dyDescent="0.3">
      <c r="A135" s="1">
        <v>133</v>
      </c>
      <c r="B135" t="s">
        <v>114</v>
      </c>
      <c r="C135" s="2">
        <v>45291</v>
      </c>
      <c r="D135">
        <v>3339000</v>
      </c>
    </row>
    <row r="136" spans="1:4" x14ac:dyDescent="0.3">
      <c r="A136" s="1">
        <v>134</v>
      </c>
      <c r="B136" t="s">
        <v>115</v>
      </c>
      <c r="C136" s="2">
        <v>45291</v>
      </c>
      <c r="D136">
        <v>9152000</v>
      </c>
    </row>
    <row r="137" spans="1:4" x14ac:dyDescent="0.3">
      <c r="A137" s="1">
        <v>135</v>
      </c>
      <c r="B137" t="s">
        <v>116</v>
      </c>
      <c r="C137" s="2">
        <v>45291</v>
      </c>
      <c r="D137">
        <v>7914000</v>
      </c>
    </row>
    <row r="138" spans="1:4" x14ac:dyDescent="0.3">
      <c r="A138" s="1">
        <v>136</v>
      </c>
      <c r="B138" t="s">
        <v>117</v>
      </c>
      <c r="C138" s="2">
        <v>45291</v>
      </c>
      <c r="D138">
        <v>1238000</v>
      </c>
    </row>
    <row r="139" spans="1:4" x14ac:dyDescent="0.3">
      <c r="A139" s="1">
        <v>137</v>
      </c>
      <c r="B139" t="s">
        <v>118</v>
      </c>
      <c r="C139" s="2">
        <v>45291</v>
      </c>
      <c r="D139">
        <v>1238000</v>
      </c>
    </row>
    <row r="140" spans="1:4" x14ac:dyDescent="0.3">
      <c r="A140" s="1">
        <v>138</v>
      </c>
      <c r="B140" t="s">
        <v>119</v>
      </c>
      <c r="C140" s="2">
        <v>45291</v>
      </c>
      <c r="D140">
        <v>2200000</v>
      </c>
    </row>
    <row r="141" spans="1:4" x14ac:dyDescent="0.3">
      <c r="A141" s="1">
        <v>139</v>
      </c>
      <c r="B141" t="s">
        <v>120</v>
      </c>
      <c r="C141" s="2">
        <v>45291</v>
      </c>
      <c r="D141">
        <v>-2905000</v>
      </c>
    </row>
    <row r="142" spans="1:4" x14ac:dyDescent="0.3">
      <c r="A142" s="1">
        <v>140</v>
      </c>
      <c r="B142" t="s">
        <v>121</v>
      </c>
      <c r="C142" s="2">
        <v>45291</v>
      </c>
      <c r="D142">
        <v>-1553000</v>
      </c>
    </row>
    <row r="143" spans="1:4" x14ac:dyDescent="0.3">
      <c r="A143" s="1">
        <v>141</v>
      </c>
      <c r="B143" t="s">
        <v>122</v>
      </c>
      <c r="C143" s="2">
        <v>45291</v>
      </c>
      <c r="D143">
        <v>-3333000</v>
      </c>
    </row>
    <row r="144" spans="1:4" x14ac:dyDescent="0.3">
      <c r="A144" s="1">
        <v>142</v>
      </c>
      <c r="B144" t="s">
        <v>123</v>
      </c>
      <c r="C144" s="2">
        <v>45291</v>
      </c>
      <c r="D144">
        <v>-3430000</v>
      </c>
    </row>
    <row r="145" spans="1:4" x14ac:dyDescent="0.3">
      <c r="A145" s="1">
        <v>143</v>
      </c>
      <c r="B145" t="s">
        <v>124</v>
      </c>
      <c r="C145" s="2">
        <v>45291</v>
      </c>
      <c r="D145">
        <v>5904000</v>
      </c>
    </row>
    <row r="146" spans="1:4" x14ac:dyDescent="0.3">
      <c r="A146" s="1">
        <v>144</v>
      </c>
      <c r="B146" t="s">
        <v>125</v>
      </c>
      <c r="C146" s="2">
        <v>45291</v>
      </c>
    </row>
    <row r="147" spans="1:4" x14ac:dyDescent="0.3">
      <c r="A147" s="1">
        <v>145</v>
      </c>
      <c r="B147" t="s">
        <v>126</v>
      </c>
      <c r="C147" s="2">
        <v>45291</v>
      </c>
      <c r="D147">
        <v>518000</v>
      </c>
    </row>
    <row r="148" spans="1:4" x14ac:dyDescent="0.3">
      <c r="A148" s="1">
        <v>146</v>
      </c>
      <c r="B148" t="s">
        <v>127</v>
      </c>
      <c r="C148" s="2">
        <v>45291</v>
      </c>
      <c r="D148">
        <v>0</v>
      </c>
    </row>
    <row r="149" spans="1:4" x14ac:dyDescent="0.3">
      <c r="A149" s="1">
        <v>147</v>
      </c>
      <c r="B149" t="s">
        <v>128</v>
      </c>
      <c r="C149" s="2">
        <v>45291</v>
      </c>
      <c r="D149">
        <v>14687000</v>
      </c>
    </row>
    <row r="150" spans="1:4" x14ac:dyDescent="0.3">
      <c r="A150" s="1">
        <v>148</v>
      </c>
      <c r="B150" t="s">
        <v>129</v>
      </c>
      <c r="C150" s="2">
        <v>45291</v>
      </c>
      <c r="D150">
        <v>14687000</v>
      </c>
    </row>
    <row r="151" spans="1:4" x14ac:dyDescent="0.3">
      <c r="A151" s="1">
        <v>149</v>
      </c>
      <c r="B151" t="s">
        <v>130</v>
      </c>
      <c r="C151" s="2">
        <v>45291</v>
      </c>
      <c r="D151">
        <v>14687000</v>
      </c>
    </row>
    <row r="152" spans="1:4" x14ac:dyDescent="0.3">
      <c r="A152" s="1">
        <v>150</v>
      </c>
      <c r="B152" t="s">
        <v>131</v>
      </c>
      <c r="C152" s="2">
        <v>45291</v>
      </c>
      <c r="D152">
        <v>-126140000</v>
      </c>
    </row>
    <row r="153" spans="1:4" x14ac:dyDescent="0.3">
      <c r="A153" s="1">
        <v>151</v>
      </c>
      <c r="B153" t="s">
        <v>132</v>
      </c>
      <c r="C153" s="2">
        <v>45291</v>
      </c>
      <c r="D153">
        <v>-5525000</v>
      </c>
    </row>
    <row r="154" spans="1:4" x14ac:dyDescent="0.3">
      <c r="A154" s="1">
        <v>152</v>
      </c>
      <c r="B154" t="s">
        <v>133</v>
      </c>
      <c r="C154" s="2">
        <v>45291</v>
      </c>
      <c r="D154">
        <v>68000</v>
      </c>
    </row>
    <row r="155" spans="1:4" x14ac:dyDescent="0.3">
      <c r="A155" s="1">
        <v>153</v>
      </c>
      <c r="B155" t="s">
        <v>134</v>
      </c>
      <c r="C155" s="2">
        <v>45291</v>
      </c>
      <c r="D155">
        <v>0</v>
      </c>
    </row>
    <row r="156" spans="1:4" x14ac:dyDescent="0.3">
      <c r="A156" s="1">
        <v>154</v>
      </c>
      <c r="B156" t="s">
        <v>135</v>
      </c>
      <c r="C156" s="2">
        <v>45291</v>
      </c>
      <c r="D156">
        <v>-122873000</v>
      </c>
    </row>
    <row r="157" spans="1:4" x14ac:dyDescent="0.3">
      <c r="A157" s="1">
        <v>155</v>
      </c>
      <c r="B157" t="s">
        <v>136</v>
      </c>
      <c r="C157" s="2">
        <v>45291</v>
      </c>
      <c r="D157">
        <v>127024000</v>
      </c>
    </row>
    <row r="158" spans="1:4" x14ac:dyDescent="0.3">
      <c r="A158" s="1">
        <v>156</v>
      </c>
      <c r="B158" t="s">
        <v>59</v>
      </c>
      <c r="C158" s="2">
        <v>44926</v>
      </c>
      <c r="D158">
        <v>-132765000</v>
      </c>
    </row>
    <row r="159" spans="1:4" x14ac:dyDescent="0.3">
      <c r="A159" s="1">
        <v>157</v>
      </c>
      <c r="B159" t="s">
        <v>60</v>
      </c>
      <c r="C159" s="2">
        <v>44926</v>
      </c>
      <c r="D159">
        <v>0</v>
      </c>
    </row>
    <row r="160" spans="1:4" x14ac:dyDescent="0.3">
      <c r="A160" s="1">
        <v>158</v>
      </c>
      <c r="B160" t="s">
        <v>61</v>
      </c>
      <c r="C160" s="2">
        <v>44926</v>
      </c>
      <c r="D160">
        <v>-77715000</v>
      </c>
    </row>
    <row r="161" spans="1:4" x14ac:dyDescent="0.3">
      <c r="A161" s="1">
        <v>159</v>
      </c>
      <c r="B161" t="s">
        <v>62</v>
      </c>
      <c r="C161" s="2">
        <v>44926</v>
      </c>
      <c r="D161">
        <v>44593000</v>
      </c>
    </row>
    <row r="162" spans="1:4" x14ac:dyDescent="0.3">
      <c r="A162" s="1">
        <v>160</v>
      </c>
      <c r="B162" t="s">
        <v>63</v>
      </c>
      <c r="C162" s="2">
        <v>44926</v>
      </c>
      <c r="D162">
        <v>100000000</v>
      </c>
    </row>
    <row r="163" spans="1:4" x14ac:dyDescent="0.3">
      <c r="A163" s="1">
        <v>161</v>
      </c>
      <c r="B163" t="s">
        <v>64</v>
      </c>
      <c r="C163" s="2">
        <v>44926</v>
      </c>
      <c r="D163">
        <v>-131410000</v>
      </c>
    </row>
    <row r="164" spans="1:4" x14ac:dyDescent="0.3">
      <c r="A164" s="1">
        <v>162</v>
      </c>
      <c r="B164" t="s">
        <v>65</v>
      </c>
      <c r="C164" s="2">
        <v>44926</v>
      </c>
      <c r="D164">
        <v>7013000</v>
      </c>
    </row>
    <row r="165" spans="1:4" x14ac:dyDescent="0.3">
      <c r="A165" s="1">
        <v>163</v>
      </c>
      <c r="B165" t="s">
        <v>66</v>
      </c>
      <c r="C165" s="2">
        <v>44926</v>
      </c>
    </row>
    <row r="166" spans="1:4" x14ac:dyDescent="0.3">
      <c r="A166" s="1">
        <v>164</v>
      </c>
      <c r="B166" t="s">
        <v>67</v>
      </c>
      <c r="C166" s="2">
        <v>44926</v>
      </c>
      <c r="D166">
        <v>77221000</v>
      </c>
    </row>
    <row r="167" spans="1:4" x14ac:dyDescent="0.3">
      <c r="A167" s="1">
        <v>165</v>
      </c>
      <c r="B167" t="s">
        <v>68</v>
      </c>
      <c r="C167" s="2">
        <v>44926</v>
      </c>
      <c r="D167">
        <v>42054000</v>
      </c>
    </row>
    <row r="168" spans="1:4" x14ac:dyDescent="0.3">
      <c r="A168" s="1">
        <v>166</v>
      </c>
      <c r="B168" t="s">
        <v>69</v>
      </c>
      <c r="C168" s="2">
        <v>44926</v>
      </c>
      <c r="D168">
        <v>35167000</v>
      </c>
    </row>
    <row r="169" spans="1:4" x14ac:dyDescent="0.3">
      <c r="A169" s="1">
        <v>167</v>
      </c>
      <c r="B169" t="s">
        <v>70</v>
      </c>
      <c r="C169" s="2">
        <v>44926</v>
      </c>
      <c r="D169">
        <v>220550000</v>
      </c>
    </row>
    <row r="170" spans="1:4" x14ac:dyDescent="0.3">
      <c r="A170" s="1">
        <v>168</v>
      </c>
      <c r="B170" t="s">
        <v>71</v>
      </c>
      <c r="C170" s="2">
        <v>44926</v>
      </c>
      <c r="D170">
        <v>220550000</v>
      </c>
    </row>
    <row r="171" spans="1:4" x14ac:dyDescent="0.3">
      <c r="A171" s="1">
        <v>169</v>
      </c>
      <c r="B171" t="s">
        <v>72</v>
      </c>
      <c r="C171" s="2">
        <v>44926</v>
      </c>
      <c r="D171">
        <v>153672000</v>
      </c>
    </row>
    <row r="172" spans="1:4" x14ac:dyDescent="0.3">
      <c r="A172" s="1">
        <v>170</v>
      </c>
      <c r="B172" t="s">
        <v>73</v>
      </c>
      <c r="C172" s="2">
        <v>44926</v>
      </c>
    </row>
    <row r="173" spans="1:4" x14ac:dyDescent="0.3">
      <c r="A173" s="1">
        <v>171</v>
      </c>
      <c r="B173" t="s">
        <v>74</v>
      </c>
      <c r="C173" s="2">
        <v>44926</v>
      </c>
      <c r="D173">
        <v>0</v>
      </c>
    </row>
    <row r="174" spans="1:4" x14ac:dyDescent="0.3">
      <c r="A174" s="1">
        <v>172</v>
      </c>
      <c r="B174" t="s">
        <v>75</v>
      </c>
      <c r="C174" s="2">
        <v>44926</v>
      </c>
      <c r="D174">
        <v>0</v>
      </c>
    </row>
    <row r="175" spans="1:4" x14ac:dyDescent="0.3">
      <c r="A175" s="1">
        <v>173</v>
      </c>
      <c r="B175" t="s">
        <v>76</v>
      </c>
      <c r="C175" s="2">
        <v>44926</v>
      </c>
      <c r="D175">
        <v>0</v>
      </c>
    </row>
    <row r="176" spans="1:4" x14ac:dyDescent="0.3">
      <c r="A176" s="1">
        <v>174</v>
      </c>
      <c r="B176" t="s">
        <v>77</v>
      </c>
      <c r="C176" s="2">
        <v>44926</v>
      </c>
      <c r="D176">
        <v>0</v>
      </c>
    </row>
    <row r="177" spans="1:4" x14ac:dyDescent="0.3">
      <c r="A177" s="1">
        <v>175</v>
      </c>
      <c r="B177" t="s">
        <v>78</v>
      </c>
      <c r="C177" s="2">
        <v>44926</v>
      </c>
      <c r="D177">
        <v>100000000</v>
      </c>
    </row>
    <row r="178" spans="1:4" x14ac:dyDescent="0.3">
      <c r="A178" s="1">
        <v>176</v>
      </c>
      <c r="B178" t="s">
        <v>79</v>
      </c>
      <c r="C178" s="2">
        <v>44926</v>
      </c>
      <c r="D178">
        <v>100000000</v>
      </c>
    </row>
    <row r="179" spans="1:4" x14ac:dyDescent="0.3">
      <c r="A179" s="1">
        <v>177</v>
      </c>
      <c r="B179" t="s">
        <v>80</v>
      </c>
      <c r="C179" s="2">
        <v>44926</v>
      </c>
      <c r="D179">
        <v>0</v>
      </c>
    </row>
    <row r="180" spans="1:4" x14ac:dyDescent="0.3">
      <c r="A180" s="1">
        <v>178</v>
      </c>
      <c r="B180" t="s">
        <v>81</v>
      </c>
      <c r="C180" s="2">
        <v>44926</v>
      </c>
      <c r="D180">
        <v>0</v>
      </c>
    </row>
    <row r="181" spans="1:4" x14ac:dyDescent="0.3">
      <c r="A181" s="1">
        <v>179</v>
      </c>
      <c r="B181" t="s">
        <v>82</v>
      </c>
      <c r="C181" s="2">
        <v>44926</v>
      </c>
      <c r="D181">
        <v>0</v>
      </c>
    </row>
    <row r="182" spans="1:4" x14ac:dyDescent="0.3">
      <c r="A182" s="1">
        <v>180</v>
      </c>
      <c r="B182" t="s">
        <v>83</v>
      </c>
      <c r="C182" s="2">
        <v>44926</v>
      </c>
      <c r="D182">
        <v>-33122000</v>
      </c>
    </row>
    <row r="183" spans="1:4" x14ac:dyDescent="0.3">
      <c r="A183" s="1">
        <v>181</v>
      </c>
      <c r="B183" t="s">
        <v>84</v>
      </c>
      <c r="C183" s="2">
        <v>44926</v>
      </c>
      <c r="D183">
        <v>-58603000</v>
      </c>
    </row>
    <row r="184" spans="1:4" x14ac:dyDescent="0.3">
      <c r="A184" s="1">
        <v>182</v>
      </c>
      <c r="B184" t="s">
        <v>85</v>
      </c>
      <c r="C184" s="2">
        <v>44926</v>
      </c>
      <c r="D184">
        <v>-58603000</v>
      </c>
    </row>
    <row r="185" spans="1:4" x14ac:dyDescent="0.3">
      <c r="A185" s="1">
        <v>183</v>
      </c>
      <c r="B185" t="s">
        <v>86</v>
      </c>
      <c r="C185" s="2">
        <v>44926</v>
      </c>
    </row>
    <row r="186" spans="1:4" x14ac:dyDescent="0.3">
      <c r="A186" s="1">
        <v>184</v>
      </c>
      <c r="B186" t="s">
        <v>87</v>
      </c>
      <c r="C186" s="2">
        <v>44926</v>
      </c>
      <c r="D186">
        <v>25481000</v>
      </c>
    </row>
    <row r="187" spans="1:4" x14ac:dyDescent="0.3">
      <c r="A187" s="1">
        <v>185</v>
      </c>
      <c r="B187" t="s">
        <v>88</v>
      </c>
      <c r="C187" s="2">
        <v>44926</v>
      </c>
      <c r="D187">
        <v>-19112000</v>
      </c>
    </row>
    <row r="188" spans="1:4" x14ac:dyDescent="0.3">
      <c r="A188" s="1">
        <v>186</v>
      </c>
      <c r="B188" t="s">
        <v>89</v>
      </c>
      <c r="C188" s="2">
        <v>44926</v>
      </c>
      <c r="D188">
        <v>44593000</v>
      </c>
    </row>
    <row r="189" spans="1:4" x14ac:dyDescent="0.3">
      <c r="A189" s="1">
        <v>187</v>
      </c>
      <c r="B189" t="s">
        <v>90</v>
      </c>
      <c r="C189" s="2">
        <v>44926</v>
      </c>
      <c r="D189">
        <v>-184028000</v>
      </c>
    </row>
    <row r="190" spans="1:4" x14ac:dyDescent="0.3">
      <c r="A190" s="1">
        <v>188</v>
      </c>
      <c r="B190" t="s">
        <v>91</v>
      </c>
      <c r="C190" s="2">
        <v>44926</v>
      </c>
      <c r="D190">
        <v>-184028000</v>
      </c>
    </row>
    <row r="191" spans="1:4" x14ac:dyDescent="0.3">
      <c r="A191" s="1">
        <v>189</v>
      </c>
      <c r="B191" t="s">
        <v>92</v>
      </c>
      <c r="C191" s="2">
        <v>44926</v>
      </c>
      <c r="D191">
        <v>10855000</v>
      </c>
    </row>
    <row r="192" spans="1:4" x14ac:dyDescent="0.3">
      <c r="A192" s="1">
        <v>190</v>
      </c>
      <c r="B192" t="s">
        <v>93</v>
      </c>
      <c r="C192" s="2">
        <v>44926</v>
      </c>
      <c r="D192">
        <v>-597000</v>
      </c>
    </row>
    <row r="193" spans="1:4" x14ac:dyDescent="0.3">
      <c r="A193" s="1">
        <v>191</v>
      </c>
      <c r="B193" t="s">
        <v>94</v>
      </c>
      <c r="C193" s="2">
        <v>44926</v>
      </c>
      <c r="D193">
        <v>2100000</v>
      </c>
    </row>
    <row r="194" spans="1:4" x14ac:dyDescent="0.3">
      <c r="A194" s="1">
        <v>192</v>
      </c>
      <c r="B194" t="s">
        <v>95</v>
      </c>
      <c r="C194" s="2">
        <v>44926</v>
      </c>
      <c r="D194">
        <v>-64976000</v>
      </c>
    </row>
    <row r="195" spans="1:4" x14ac:dyDescent="0.3">
      <c r="A195" s="1">
        <v>193</v>
      </c>
      <c r="B195" t="s">
        <v>96</v>
      </c>
      <c r="C195" s="2">
        <v>44926</v>
      </c>
    </row>
    <row r="196" spans="1:4" x14ac:dyDescent="0.3">
      <c r="A196" s="1">
        <v>194</v>
      </c>
      <c r="B196" t="s">
        <v>97</v>
      </c>
      <c r="C196" s="2">
        <v>44926</v>
      </c>
      <c r="D196">
        <v>-64976000</v>
      </c>
    </row>
    <row r="197" spans="1:4" x14ac:dyDescent="0.3">
      <c r="A197" s="1">
        <v>195</v>
      </c>
      <c r="B197" t="s">
        <v>98</v>
      </c>
      <c r="C197" s="2">
        <v>44926</v>
      </c>
      <c r="D197">
        <v>-597000</v>
      </c>
    </row>
    <row r="198" spans="1:4" x14ac:dyDescent="0.3">
      <c r="A198" s="1">
        <v>196</v>
      </c>
      <c r="B198" t="s">
        <v>99</v>
      </c>
      <c r="C198" s="2">
        <v>44926</v>
      </c>
      <c r="D198">
        <v>0</v>
      </c>
    </row>
    <row r="199" spans="1:4" x14ac:dyDescent="0.3">
      <c r="A199" s="1">
        <v>197</v>
      </c>
      <c r="B199" t="s">
        <v>100</v>
      </c>
      <c r="C199" s="2">
        <v>44926</v>
      </c>
      <c r="D199">
        <v>-597000</v>
      </c>
    </row>
    <row r="200" spans="1:4" x14ac:dyDescent="0.3">
      <c r="A200" s="1">
        <v>198</v>
      </c>
      <c r="B200" t="s">
        <v>101</v>
      </c>
      <c r="C200" s="2">
        <v>44926</v>
      </c>
    </row>
    <row r="201" spans="1:4" x14ac:dyDescent="0.3">
      <c r="A201" s="1">
        <v>199</v>
      </c>
      <c r="B201" t="s">
        <v>102</v>
      </c>
      <c r="C201" s="2">
        <v>44926</v>
      </c>
    </row>
    <row r="202" spans="1:4" x14ac:dyDescent="0.3">
      <c r="A202" s="1">
        <v>200</v>
      </c>
      <c r="B202" t="s">
        <v>103</v>
      </c>
      <c r="C202" s="2">
        <v>44926</v>
      </c>
      <c r="D202">
        <v>-131410000</v>
      </c>
    </row>
    <row r="203" spans="1:4" x14ac:dyDescent="0.3">
      <c r="A203" s="1">
        <v>201</v>
      </c>
      <c r="B203" t="s">
        <v>104</v>
      </c>
      <c r="C203" s="2">
        <v>44926</v>
      </c>
    </row>
    <row r="204" spans="1:4" x14ac:dyDescent="0.3">
      <c r="A204" s="1">
        <v>202</v>
      </c>
      <c r="B204" t="s">
        <v>105</v>
      </c>
      <c r="C204" s="2">
        <v>44926</v>
      </c>
      <c r="D204">
        <v>-131410000</v>
      </c>
    </row>
    <row r="205" spans="1:4" x14ac:dyDescent="0.3">
      <c r="A205" s="1">
        <v>203</v>
      </c>
      <c r="B205" t="s">
        <v>106</v>
      </c>
      <c r="C205" s="2">
        <v>44926</v>
      </c>
      <c r="D205">
        <v>-1355000</v>
      </c>
    </row>
    <row r="206" spans="1:4" x14ac:dyDescent="0.3">
      <c r="A206" s="1">
        <v>204</v>
      </c>
      <c r="B206" t="s">
        <v>107</v>
      </c>
      <c r="C206" s="2">
        <v>44926</v>
      </c>
      <c r="D206">
        <v>-1355000</v>
      </c>
    </row>
    <row r="207" spans="1:4" x14ac:dyDescent="0.3">
      <c r="A207" s="1">
        <v>205</v>
      </c>
      <c r="B207" t="s">
        <v>108</v>
      </c>
      <c r="C207" s="2">
        <v>44926</v>
      </c>
      <c r="D207">
        <v>0</v>
      </c>
    </row>
    <row r="208" spans="1:4" x14ac:dyDescent="0.3">
      <c r="A208" s="1">
        <v>206</v>
      </c>
      <c r="B208" t="s">
        <v>109</v>
      </c>
      <c r="C208" s="2">
        <v>44926</v>
      </c>
      <c r="D208">
        <v>-14275000</v>
      </c>
    </row>
    <row r="209" spans="1:4" x14ac:dyDescent="0.3">
      <c r="A209" s="1">
        <v>207</v>
      </c>
      <c r="B209" t="s">
        <v>110</v>
      </c>
      <c r="C209" s="2">
        <v>44926</v>
      </c>
      <c r="D209">
        <v>-1772000</v>
      </c>
    </row>
    <row r="210" spans="1:4" x14ac:dyDescent="0.3">
      <c r="A210" s="1">
        <v>208</v>
      </c>
      <c r="B210" t="s">
        <v>111</v>
      </c>
      <c r="C210" s="2">
        <v>44926</v>
      </c>
      <c r="D210">
        <v>-188000</v>
      </c>
    </row>
    <row r="211" spans="1:4" x14ac:dyDescent="0.3">
      <c r="A211" s="1">
        <v>209</v>
      </c>
      <c r="B211" t="s">
        <v>112</v>
      </c>
      <c r="C211" s="2">
        <v>44926</v>
      </c>
      <c r="D211">
        <v>-1288000</v>
      </c>
    </row>
    <row r="212" spans="1:4" x14ac:dyDescent="0.3">
      <c r="A212" s="1">
        <v>210</v>
      </c>
      <c r="B212" t="s">
        <v>113</v>
      </c>
      <c r="C212" s="2">
        <v>44926</v>
      </c>
      <c r="D212">
        <v>16029000</v>
      </c>
    </row>
    <row r="213" spans="1:4" x14ac:dyDescent="0.3">
      <c r="A213" s="1">
        <v>211</v>
      </c>
      <c r="B213" t="s">
        <v>114</v>
      </c>
      <c r="C213" s="2">
        <v>44926</v>
      </c>
      <c r="D213">
        <v>3364000</v>
      </c>
    </row>
    <row r="214" spans="1:4" x14ac:dyDescent="0.3">
      <c r="A214" s="1">
        <v>212</v>
      </c>
      <c r="B214" t="s">
        <v>115</v>
      </c>
      <c r="C214" s="2">
        <v>44926</v>
      </c>
      <c r="D214">
        <v>12665000</v>
      </c>
    </row>
    <row r="215" spans="1:4" x14ac:dyDescent="0.3">
      <c r="A215" s="1">
        <v>213</v>
      </c>
      <c r="B215" t="s">
        <v>116</v>
      </c>
      <c r="C215" s="2">
        <v>44926</v>
      </c>
      <c r="D215">
        <v>11323000</v>
      </c>
    </row>
    <row r="216" spans="1:4" x14ac:dyDescent="0.3">
      <c r="A216" s="1">
        <v>214</v>
      </c>
      <c r="B216" t="s">
        <v>117</v>
      </c>
      <c r="C216" s="2">
        <v>44926</v>
      </c>
      <c r="D216">
        <v>1342000</v>
      </c>
    </row>
    <row r="217" spans="1:4" x14ac:dyDescent="0.3">
      <c r="A217" s="1">
        <v>215</v>
      </c>
      <c r="B217" t="s">
        <v>118</v>
      </c>
      <c r="C217" s="2">
        <v>44926</v>
      </c>
      <c r="D217">
        <v>1342000</v>
      </c>
    </row>
    <row r="218" spans="1:4" x14ac:dyDescent="0.3">
      <c r="A218" s="1">
        <v>216</v>
      </c>
      <c r="B218" t="s">
        <v>119</v>
      </c>
      <c r="C218" s="2">
        <v>44926</v>
      </c>
      <c r="D218">
        <v>-3108000</v>
      </c>
    </row>
    <row r="219" spans="1:4" x14ac:dyDescent="0.3">
      <c r="A219" s="1">
        <v>217</v>
      </c>
      <c r="B219" t="s">
        <v>120</v>
      </c>
      <c r="C219" s="2">
        <v>44926</v>
      </c>
      <c r="D219">
        <v>-2586000</v>
      </c>
    </row>
    <row r="220" spans="1:4" x14ac:dyDescent="0.3">
      <c r="A220" s="1">
        <v>218</v>
      </c>
      <c r="B220" t="s">
        <v>121</v>
      </c>
      <c r="C220" s="2">
        <v>44926</v>
      </c>
      <c r="D220">
        <v>-21362000</v>
      </c>
    </row>
    <row r="221" spans="1:4" x14ac:dyDescent="0.3">
      <c r="A221" s="1">
        <v>219</v>
      </c>
      <c r="B221" t="s">
        <v>122</v>
      </c>
      <c r="C221" s="2">
        <v>44926</v>
      </c>
      <c r="D221">
        <v>-18612000</v>
      </c>
    </row>
    <row r="222" spans="1:4" x14ac:dyDescent="0.3">
      <c r="A222" s="1">
        <v>220</v>
      </c>
      <c r="B222" t="s">
        <v>123</v>
      </c>
      <c r="C222" s="2">
        <v>44926</v>
      </c>
      <c r="D222">
        <v>-36863000</v>
      </c>
    </row>
    <row r="223" spans="1:4" x14ac:dyDescent="0.3">
      <c r="A223" s="1">
        <v>221</v>
      </c>
      <c r="B223" t="s">
        <v>124</v>
      </c>
      <c r="C223" s="2">
        <v>44926</v>
      </c>
      <c r="D223">
        <v>1469000</v>
      </c>
    </row>
    <row r="224" spans="1:4" x14ac:dyDescent="0.3">
      <c r="A224" s="1">
        <v>222</v>
      </c>
      <c r="B224" t="s">
        <v>125</v>
      </c>
      <c r="C224" s="2">
        <v>44926</v>
      </c>
      <c r="D224">
        <v>413000</v>
      </c>
    </row>
    <row r="225" spans="1:4" x14ac:dyDescent="0.3">
      <c r="A225" s="1">
        <v>223</v>
      </c>
      <c r="B225" t="s">
        <v>126</v>
      </c>
      <c r="C225" s="2">
        <v>44926</v>
      </c>
      <c r="D225">
        <v>499000</v>
      </c>
    </row>
    <row r="226" spans="1:4" x14ac:dyDescent="0.3">
      <c r="A226" s="1">
        <v>224</v>
      </c>
      <c r="B226" t="s">
        <v>127</v>
      </c>
      <c r="C226" s="2">
        <v>44926</v>
      </c>
    </row>
    <row r="227" spans="1:4" x14ac:dyDescent="0.3">
      <c r="A227" s="1">
        <v>225</v>
      </c>
      <c r="B227" t="s">
        <v>128</v>
      </c>
      <c r="C227" s="2">
        <v>44926</v>
      </c>
      <c r="D227">
        <v>13785000</v>
      </c>
    </row>
    <row r="228" spans="1:4" x14ac:dyDescent="0.3">
      <c r="A228" s="1">
        <v>226</v>
      </c>
      <c r="B228" t="s">
        <v>129</v>
      </c>
      <c r="C228" s="2">
        <v>44926</v>
      </c>
      <c r="D228">
        <v>13785000</v>
      </c>
    </row>
    <row r="229" spans="1:4" x14ac:dyDescent="0.3">
      <c r="A229" s="1">
        <v>227</v>
      </c>
      <c r="B229" t="s">
        <v>130</v>
      </c>
      <c r="C229" s="2">
        <v>44926</v>
      </c>
      <c r="D229">
        <v>13785000</v>
      </c>
    </row>
    <row r="230" spans="1:4" x14ac:dyDescent="0.3">
      <c r="A230" s="1">
        <v>228</v>
      </c>
      <c r="B230" t="s">
        <v>131</v>
      </c>
      <c r="C230" s="2">
        <v>44926</v>
      </c>
      <c r="D230">
        <v>1451000</v>
      </c>
    </row>
    <row r="231" spans="1:4" x14ac:dyDescent="0.3">
      <c r="A231" s="1">
        <v>229</v>
      </c>
      <c r="B231" t="s">
        <v>132</v>
      </c>
      <c r="C231" s="2">
        <v>44926</v>
      </c>
      <c r="D231">
        <v>-5784000</v>
      </c>
    </row>
    <row r="232" spans="1:4" x14ac:dyDescent="0.3">
      <c r="A232" s="1">
        <v>230</v>
      </c>
      <c r="B232" t="s">
        <v>133</v>
      </c>
      <c r="C232" s="2">
        <v>44926</v>
      </c>
      <c r="D232">
        <v>7235000</v>
      </c>
    </row>
    <row r="233" spans="1:4" x14ac:dyDescent="0.3">
      <c r="A233" s="1">
        <v>231</v>
      </c>
      <c r="B233" t="s">
        <v>134</v>
      </c>
      <c r="C233" s="2">
        <v>44926</v>
      </c>
    </row>
    <row r="234" spans="1:4" x14ac:dyDescent="0.3">
      <c r="A234" s="1">
        <v>232</v>
      </c>
      <c r="B234" t="s">
        <v>135</v>
      </c>
      <c r="C234" s="2">
        <v>44926</v>
      </c>
      <c r="D234">
        <v>0</v>
      </c>
    </row>
    <row r="235" spans="1:4" x14ac:dyDescent="0.3">
      <c r="A235" s="1">
        <v>233</v>
      </c>
      <c r="B235" t="s">
        <v>136</v>
      </c>
      <c r="C235" s="2">
        <v>44926</v>
      </c>
      <c r="D235">
        <v>32579000</v>
      </c>
    </row>
    <row r="236" spans="1:4" x14ac:dyDescent="0.3">
      <c r="A236" s="1">
        <v>234</v>
      </c>
      <c r="B236" t="s">
        <v>59</v>
      </c>
      <c r="C236" s="2">
        <v>44561</v>
      </c>
      <c r="D236">
        <v>-70790000</v>
      </c>
    </row>
    <row r="237" spans="1:4" x14ac:dyDescent="0.3">
      <c r="A237" s="1">
        <v>235</v>
      </c>
      <c r="B237" t="s">
        <v>60</v>
      </c>
      <c r="C237" s="2">
        <v>44561</v>
      </c>
    </row>
    <row r="238" spans="1:4" x14ac:dyDescent="0.3">
      <c r="A238" s="1">
        <v>236</v>
      </c>
      <c r="B238" t="s">
        <v>61</v>
      </c>
      <c r="C238" s="2">
        <v>44561</v>
      </c>
      <c r="D238">
        <v>-20277000</v>
      </c>
    </row>
    <row r="239" spans="1:4" x14ac:dyDescent="0.3">
      <c r="A239" s="1">
        <v>237</v>
      </c>
      <c r="B239" t="s">
        <v>62</v>
      </c>
      <c r="C239" s="2">
        <v>44561</v>
      </c>
      <c r="D239">
        <v>90679000</v>
      </c>
    </row>
    <row r="240" spans="1:4" x14ac:dyDescent="0.3">
      <c r="A240" s="1">
        <v>238</v>
      </c>
      <c r="B240" t="s">
        <v>63</v>
      </c>
      <c r="C240" s="2">
        <v>44561</v>
      </c>
      <c r="D240">
        <v>0</v>
      </c>
    </row>
    <row r="241" spans="1:4" x14ac:dyDescent="0.3">
      <c r="A241" s="1">
        <v>239</v>
      </c>
      <c r="B241" t="s">
        <v>64</v>
      </c>
      <c r="C241" s="2">
        <v>44561</v>
      </c>
      <c r="D241">
        <v>-89646000</v>
      </c>
    </row>
    <row r="242" spans="1:4" x14ac:dyDescent="0.3">
      <c r="A242" s="1">
        <v>240</v>
      </c>
      <c r="B242" t="s">
        <v>65</v>
      </c>
      <c r="C242" s="2">
        <v>44561</v>
      </c>
      <c r="D242">
        <v>4339000</v>
      </c>
    </row>
    <row r="243" spans="1:4" x14ac:dyDescent="0.3">
      <c r="A243" s="1">
        <v>241</v>
      </c>
      <c r="B243" t="s">
        <v>66</v>
      </c>
      <c r="C243" s="2">
        <v>44561</v>
      </c>
    </row>
    <row r="244" spans="1:4" x14ac:dyDescent="0.3">
      <c r="A244" s="1">
        <v>242</v>
      </c>
      <c r="B244" t="s">
        <v>67</v>
      </c>
      <c r="C244" s="2">
        <v>44561</v>
      </c>
      <c r="D244">
        <v>42054000</v>
      </c>
    </row>
    <row r="245" spans="1:4" x14ac:dyDescent="0.3">
      <c r="A245" s="1">
        <v>243</v>
      </c>
      <c r="B245" t="s">
        <v>68</v>
      </c>
      <c r="C245" s="2">
        <v>44561</v>
      </c>
      <c r="D245">
        <v>15388000</v>
      </c>
    </row>
    <row r="246" spans="1:4" x14ac:dyDescent="0.3">
      <c r="A246" s="1">
        <v>244</v>
      </c>
      <c r="B246" t="s">
        <v>69</v>
      </c>
      <c r="C246" s="2">
        <v>44561</v>
      </c>
      <c r="D246">
        <v>26666000</v>
      </c>
    </row>
    <row r="247" spans="1:4" x14ac:dyDescent="0.3">
      <c r="A247" s="1">
        <v>245</v>
      </c>
      <c r="B247" t="s">
        <v>70</v>
      </c>
      <c r="C247" s="2">
        <v>44561</v>
      </c>
      <c r="D247">
        <v>125014000</v>
      </c>
    </row>
    <row r="248" spans="1:4" x14ac:dyDescent="0.3">
      <c r="A248" s="1">
        <v>246</v>
      </c>
      <c r="B248" t="s">
        <v>71</v>
      </c>
      <c r="C248" s="2">
        <v>44561</v>
      </c>
      <c r="D248">
        <v>125014000</v>
      </c>
    </row>
    <row r="249" spans="1:4" x14ac:dyDescent="0.3">
      <c r="A249" s="1">
        <v>247</v>
      </c>
      <c r="B249" t="s">
        <v>72</v>
      </c>
      <c r="C249" s="2">
        <v>44561</v>
      </c>
      <c r="D249">
        <v>58307000</v>
      </c>
    </row>
    <row r="250" spans="1:4" x14ac:dyDescent="0.3">
      <c r="A250" s="1">
        <v>248</v>
      </c>
      <c r="B250" t="s">
        <v>73</v>
      </c>
      <c r="C250" s="2">
        <v>44561</v>
      </c>
      <c r="D250">
        <v>-3607000</v>
      </c>
    </row>
    <row r="251" spans="1:4" x14ac:dyDescent="0.3">
      <c r="A251" s="1">
        <v>249</v>
      </c>
      <c r="B251" t="s">
        <v>74</v>
      </c>
      <c r="C251" s="2">
        <v>44561</v>
      </c>
    </row>
    <row r="252" spans="1:4" x14ac:dyDescent="0.3">
      <c r="A252" s="1">
        <v>250</v>
      </c>
      <c r="B252" t="s">
        <v>75</v>
      </c>
      <c r="C252" s="2">
        <v>44561</v>
      </c>
      <c r="D252">
        <v>-3695000</v>
      </c>
    </row>
    <row r="253" spans="1:4" x14ac:dyDescent="0.3">
      <c r="A253" s="1">
        <v>251</v>
      </c>
      <c r="B253" t="s">
        <v>76</v>
      </c>
      <c r="C253" s="2">
        <v>44561</v>
      </c>
    </row>
    <row r="254" spans="1:4" x14ac:dyDescent="0.3">
      <c r="A254" s="1">
        <v>252</v>
      </c>
      <c r="B254" t="s">
        <v>77</v>
      </c>
      <c r="C254" s="2">
        <v>44561</v>
      </c>
      <c r="D254">
        <v>-3695000</v>
      </c>
    </row>
    <row r="255" spans="1:4" x14ac:dyDescent="0.3">
      <c r="A255" s="1">
        <v>253</v>
      </c>
      <c r="B255" t="s">
        <v>78</v>
      </c>
      <c r="C255" s="2">
        <v>44561</v>
      </c>
      <c r="D255">
        <v>0</v>
      </c>
    </row>
    <row r="256" spans="1:4" x14ac:dyDescent="0.3">
      <c r="A256" s="1">
        <v>254</v>
      </c>
      <c r="B256" t="s">
        <v>79</v>
      </c>
      <c r="C256" s="2">
        <v>44561</v>
      </c>
      <c r="D256">
        <v>0</v>
      </c>
    </row>
    <row r="257" spans="1:4" x14ac:dyDescent="0.3">
      <c r="A257" s="1">
        <v>255</v>
      </c>
      <c r="B257" t="s">
        <v>80</v>
      </c>
      <c r="C257" s="2">
        <v>44561</v>
      </c>
    </row>
    <row r="258" spans="1:4" x14ac:dyDescent="0.3">
      <c r="A258" s="1">
        <v>256</v>
      </c>
      <c r="B258" t="s">
        <v>81</v>
      </c>
      <c r="C258" s="2">
        <v>44561</v>
      </c>
    </row>
    <row r="259" spans="1:4" x14ac:dyDescent="0.3">
      <c r="A259" s="1">
        <v>257</v>
      </c>
      <c r="B259" t="s">
        <v>82</v>
      </c>
      <c r="C259" s="2">
        <v>44561</v>
      </c>
    </row>
    <row r="260" spans="1:4" x14ac:dyDescent="0.3">
      <c r="A260" s="1">
        <v>258</v>
      </c>
      <c r="B260" t="s">
        <v>83</v>
      </c>
      <c r="C260" s="2">
        <v>44561</v>
      </c>
      <c r="D260">
        <v>70402000</v>
      </c>
    </row>
    <row r="261" spans="1:4" x14ac:dyDescent="0.3">
      <c r="A261" s="1">
        <v>259</v>
      </c>
      <c r="B261" t="s">
        <v>84</v>
      </c>
      <c r="C261" s="2">
        <v>44561</v>
      </c>
      <c r="D261">
        <v>-20083000</v>
      </c>
    </row>
    <row r="262" spans="1:4" x14ac:dyDescent="0.3">
      <c r="A262" s="1">
        <v>260</v>
      </c>
      <c r="B262" t="s">
        <v>85</v>
      </c>
      <c r="C262" s="2">
        <v>44561</v>
      </c>
      <c r="D262">
        <v>-20083000</v>
      </c>
    </row>
    <row r="263" spans="1:4" x14ac:dyDescent="0.3">
      <c r="A263" s="1">
        <v>261</v>
      </c>
      <c r="B263" t="s">
        <v>86</v>
      </c>
      <c r="C263" s="2">
        <v>44561</v>
      </c>
      <c r="D263">
        <v>0</v>
      </c>
    </row>
    <row r="264" spans="1:4" x14ac:dyDescent="0.3">
      <c r="A264" s="1">
        <v>262</v>
      </c>
      <c r="B264" t="s">
        <v>87</v>
      </c>
      <c r="C264" s="2">
        <v>44561</v>
      </c>
      <c r="D264">
        <v>90485000</v>
      </c>
    </row>
    <row r="265" spans="1:4" x14ac:dyDescent="0.3">
      <c r="A265" s="1">
        <v>263</v>
      </c>
      <c r="B265" t="s">
        <v>88</v>
      </c>
      <c r="C265" s="2">
        <v>44561</v>
      </c>
      <c r="D265">
        <v>-194000</v>
      </c>
    </row>
    <row r="266" spans="1:4" x14ac:dyDescent="0.3">
      <c r="A266" s="1">
        <v>264</v>
      </c>
      <c r="B266" t="s">
        <v>89</v>
      </c>
      <c r="C266" s="2">
        <v>44561</v>
      </c>
      <c r="D266">
        <v>90679000</v>
      </c>
    </row>
    <row r="267" spans="1:4" x14ac:dyDescent="0.3">
      <c r="A267" s="1">
        <v>265</v>
      </c>
      <c r="B267" t="s">
        <v>90</v>
      </c>
      <c r="C267" s="2">
        <v>44561</v>
      </c>
      <c r="D267">
        <v>-117204000</v>
      </c>
    </row>
    <row r="268" spans="1:4" x14ac:dyDescent="0.3">
      <c r="A268" s="1">
        <v>266</v>
      </c>
      <c r="B268" t="s">
        <v>91</v>
      </c>
      <c r="C268" s="2">
        <v>44561</v>
      </c>
      <c r="D268">
        <v>-117204000</v>
      </c>
    </row>
    <row r="269" spans="1:4" x14ac:dyDescent="0.3">
      <c r="A269" s="1">
        <v>267</v>
      </c>
      <c r="B269" t="s">
        <v>92</v>
      </c>
      <c r="C269" s="2">
        <v>44561</v>
      </c>
      <c r="D269">
        <v>-10450000</v>
      </c>
    </row>
    <row r="270" spans="1:4" x14ac:dyDescent="0.3">
      <c r="A270" s="1">
        <v>268</v>
      </c>
      <c r="B270" t="s">
        <v>93</v>
      </c>
      <c r="C270" s="2">
        <v>44561</v>
      </c>
      <c r="D270">
        <v>-1570000</v>
      </c>
    </row>
    <row r="271" spans="1:4" x14ac:dyDescent="0.3">
      <c r="A271" s="1">
        <v>269</v>
      </c>
      <c r="B271" t="s">
        <v>94</v>
      </c>
      <c r="C271" s="2">
        <v>44561</v>
      </c>
      <c r="D271">
        <v>3695000</v>
      </c>
    </row>
    <row r="272" spans="1:4" x14ac:dyDescent="0.3">
      <c r="A272" s="1">
        <v>270</v>
      </c>
      <c r="B272" t="s">
        <v>95</v>
      </c>
      <c r="C272" s="2">
        <v>44561</v>
      </c>
      <c r="D272">
        <v>0</v>
      </c>
    </row>
    <row r="273" spans="1:4" x14ac:dyDescent="0.3">
      <c r="A273" s="1">
        <v>271</v>
      </c>
      <c r="B273" t="s">
        <v>96</v>
      </c>
      <c r="C273" s="2">
        <v>44561</v>
      </c>
    </row>
    <row r="274" spans="1:4" x14ac:dyDescent="0.3">
      <c r="A274" s="1">
        <v>272</v>
      </c>
      <c r="B274" t="s">
        <v>97</v>
      </c>
      <c r="C274" s="2">
        <v>44561</v>
      </c>
      <c r="D274">
        <v>0</v>
      </c>
    </row>
    <row r="275" spans="1:4" x14ac:dyDescent="0.3">
      <c r="A275" s="1">
        <v>273</v>
      </c>
      <c r="B275" t="s">
        <v>98</v>
      </c>
      <c r="C275" s="2">
        <v>44561</v>
      </c>
      <c r="D275">
        <v>-19233000</v>
      </c>
    </row>
    <row r="276" spans="1:4" x14ac:dyDescent="0.3">
      <c r="A276" s="1">
        <v>274</v>
      </c>
      <c r="B276" t="s">
        <v>99</v>
      </c>
      <c r="C276" s="2">
        <v>44561</v>
      </c>
      <c r="D276">
        <v>1975000</v>
      </c>
    </row>
    <row r="277" spans="1:4" x14ac:dyDescent="0.3">
      <c r="A277" s="1">
        <v>275</v>
      </c>
      <c r="B277" t="s">
        <v>100</v>
      </c>
      <c r="C277" s="2">
        <v>44561</v>
      </c>
      <c r="D277">
        <v>-21208000</v>
      </c>
    </row>
    <row r="278" spans="1:4" x14ac:dyDescent="0.3">
      <c r="A278" s="1">
        <v>276</v>
      </c>
      <c r="B278" t="s">
        <v>101</v>
      </c>
      <c r="C278" s="2">
        <v>44561</v>
      </c>
      <c r="D278">
        <v>0</v>
      </c>
    </row>
    <row r="279" spans="1:4" x14ac:dyDescent="0.3">
      <c r="A279" s="1">
        <v>277</v>
      </c>
      <c r="B279" t="s">
        <v>102</v>
      </c>
      <c r="C279" s="2">
        <v>44561</v>
      </c>
      <c r="D279">
        <v>0</v>
      </c>
    </row>
    <row r="280" spans="1:4" x14ac:dyDescent="0.3">
      <c r="A280" s="1">
        <v>278</v>
      </c>
      <c r="B280" t="s">
        <v>103</v>
      </c>
      <c r="C280" s="2">
        <v>44561</v>
      </c>
      <c r="D280">
        <v>-89646000</v>
      </c>
    </row>
    <row r="281" spans="1:4" x14ac:dyDescent="0.3">
      <c r="A281" s="1">
        <v>279</v>
      </c>
      <c r="B281" t="s">
        <v>104</v>
      </c>
      <c r="C281" s="2">
        <v>44561</v>
      </c>
      <c r="D281">
        <v>0</v>
      </c>
    </row>
    <row r="282" spans="1:4" x14ac:dyDescent="0.3">
      <c r="A282" s="1">
        <v>280</v>
      </c>
      <c r="B282" t="s">
        <v>105</v>
      </c>
      <c r="C282" s="2">
        <v>44561</v>
      </c>
      <c r="D282">
        <v>-89646000</v>
      </c>
    </row>
    <row r="283" spans="1:4" x14ac:dyDescent="0.3">
      <c r="A283" s="1">
        <v>281</v>
      </c>
      <c r="B283" t="s">
        <v>106</v>
      </c>
      <c r="C283" s="2">
        <v>44561</v>
      </c>
      <c r="D283">
        <v>18856000</v>
      </c>
    </row>
    <row r="284" spans="1:4" x14ac:dyDescent="0.3">
      <c r="A284" s="1">
        <v>282</v>
      </c>
      <c r="B284" t="s">
        <v>107</v>
      </c>
      <c r="C284" s="2">
        <v>44561</v>
      </c>
      <c r="D284">
        <v>18856000</v>
      </c>
    </row>
    <row r="285" spans="1:4" x14ac:dyDescent="0.3">
      <c r="A285" s="1">
        <v>283</v>
      </c>
      <c r="B285" t="s">
        <v>108</v>
      </c>
      <c r="C285" s="2">
        <v>44561</v>
      </c>
    </row>
    <row r="286" spans="1:4" x14ac:dyDescent="0.3">
      <c r="A286" s="1">
        <v>284</v>
      </c>
      <c r="B286" t="s">
        <v>109</v>
      </c>
      <c r="C286" s="2">
        <v>44561</v>
      </c>
      <c r="D286">
        <v>832000</v>
      </c>
    </row>
    <row r="287" spans="1:4" x14ac:dyDescent="0.3">
      <c r="A287" s="1">
        <v>285</v>
      </c>
      <c r="B287" t="s">
        <v>110</v>
      </c>
      <c r="C287" s="2">
        <v>44561</v>
      </c>
      <c r="D287">
        <v>5107000</v>
      </c>
    </row>
    <row r="288" spans="1:4" x14ac:dyDescent="0.3">
      <c r="A288" s="1">
        <v>286</v>
      </c>
      <c r="B288" t="s">
        <v>111</v>
      </c>
      <c r="C288" s="2">
        <v>44561</v>
      </c>
      <c r="D288">
        <v>699000</v>
      </c>
    </row>
    <row r="289" spans="1:4" x14ac:dyDescent="0.3">
      <c r="A289" s="1">
        <v>287</v>
      </c>
      <c r="B289" t="s">
        <v>112</v>
      </c>
      <c r="C289" s="2">
        <v>44561</v>
      </c>
      <c r="D289">
        <v>159000</v>
      </c>
    </row>
    <row r="290" spans="1:4" x14ac:dyDescent="0.3">
      <c r="A290" s="1">
        <v>288</v>
      </c>
      <c r="B290" t="s">
        <v>113</v>
      </c>
      <c r="C290" s="2">
        <v>44561</v>
      </c>
      <c r="D290">
        <v>4560000</v>
      </c>
    </row>
    <row r="291" spans="1:4" x14ac:dyDescent="0.3">
      <c r="A291" s="1">
        <v>289</v>
      </c>
      <c r="B291" t="s">
        <v>114</v>
      </c>
      <c r="C291" s="2">
        <v>44561</v>
      </c>
      <c r="D291">
        <v>3381000</v>
      </c>
    </row>
    <row r="292" spans="1:4" x14ac:dyDescent="0.3">
      <c r="A292" s="1">
        <v>290</v>
      </c>
      <c r="B292" t="s">
        <v>115</v>
      </c>
      <c r="C292" s="2">
        <v>44561</v>
      </c>
      <c r="D292">
        <v>1179000</v>
      </c>
    </row>
    <row r="293" spans="1:4" x14ac:dyDescent="0.3">
      <c r="A293" s="1">
        <v>291</v>
      </c>
      <c r="B293" t="s">
        <v>116</v>
      </c>
      <c r="C293" s="2">
        <v>44561</v>
      </c>
      <c r="D293">
        <v>1146000</v>
      </c>
    </row>
    <row r="294" spans="1:4" x14ac:dyDescent="0.3">
      <c r="A294" s="1">
        <v>292</v>
      </c>
      <c r="B294" t="s">
        <v>117</v>
      </c>
      <c r="C294" s="2">
        <v>44561</v>
      </c>
      <c r="D294">
        <v>33000</v>
      </c>
    </row>
    <row r="295" spans="1:4" x14ac:dyDescent="0.3">
      <c r="A295" s="1">
        <v>293</v>
      </c>
      <c r="B295" t="s">
        <v>118</v>
      </c>
      <c r="C295" s="2">
        <v>44561</v>
      </c>
      <c r="D295">
        <v>33000</v>
      </c>
    </row>
    <row r="296" spans="1:4" x14ac:dyDescent="0.3">
      <c r="A296" s="1">
        <v>294</v>
      </c>
      <c r="B296" t="s">
        <v>119</v>
      </c>
      <c r="C296" s="2">
        <v>44561</v>
      </c>
      <c r="D296">
        <v>-2928000</v>
      </c>
    </row>
    <row r="297" spans="1:4" x14ac:dyDescent="0.3">
      <c r="A297" s="1">
        <v>295</v>
      </c>
      <c r="B297" t="s">
        <v>120</v>
      </c>
      <c r="C297" s="2">
        <v>44561</v>
      </c>
      <c r="D297">
        <v>-744000</v>
      </c>
    </row>
    <row r="298" spans="1:4" x14ac:dyDescent="0.3">
      <c r="A298" s="1">
        <v>296</v>
      </c>
      <c r="B298" t="s">
        <v>121</v>
      </c>
      <c r="C298" s="2">
        <v>44561</v>
      </c>
      <c r="D298">
        <v>-6021000</v>
      </c>
    </row>
    <row r="299" spans="1:4" x14ac:dyDescent="0.3">
      <c r="A299" s="1">
        <v>297</v>
      </c>
      <c r="B299" t="s">
        <v>122</v>
      </c>
      <c r="C299" s="2">
        <v>44561</v>
      </c>
      <c r="D299">
        <v>-2944000</v>
      </c>
    </row>
    <row r="300" spans="1:4" x14ac:dyDescent="0.3">
      <c r="A300" s="1">
        <v>298</v>
      </c>
      <c r="B300" t="s">
        <v>123</v>
      </c>
      <c r="C300" s="2">
        <v>44561</v>
      </c>
      <c r="D300">
        <v>-18824000</v>
      </c>
    </row>
    <row r="301" spans="1:4" x14ac:dyDescent="0.3">
      <c r="A301" s="1">
        <v>299</v>
      </c>
      <c r="B301" t="s">
        <v>124</v>
      </c>
      <c r="C301" s="2">
        <v>44561</v>
      </c>
      <c r="D301">
        <v>639000</v>
      </c>
    </row>
    <row r="302" spans="1:4" x14ac:dyDescent="0.3">
      <c r="A302" s="1">
        <v>300</v>
      </c>
      <c r="B302" t="s">
        <v>125</v>
      </c>
      <c r="C302" s="2">
        <v>44561</v>
      </c>
      <c r="D302">
        <v>3300000</v>
      </c>
    </row>
    <row r="303" spans="1:4" x14ac:dyDescent="0.3">
      <c r="A303" s="1">
        <v>301</v>
      </c>
      <c r="B303" t="s">
        <v>126</v>
      </c>
      <c r="C303" s="2">
        <v>44561</v>
      </c>
      <c r="D303">
        <v>0</v>
      </c>
    </row>
    <row r="304" spans="1:4" x14ac:dyDescent="0.3">
      <c r="A304" s="1">
        <v>302</v>
      </c>
      <c r="B304" t="s">
        <v>127</v>
      </c>
      <c r="C304" s="2">
        <v>44561</v>
      </c>
      <c r="D304">
        <v>0</v>
      </c>
    </row>
    <row r="305" spans="1:4" x14ac:dyDescent="0.3">
      <c r="A305" s="1">
        <v>303</v>
      </c>
      <c r="B305" t="s">
        <v>128</v>
      </c>
      <c r="C305" s="2">
        <v>44561</v>
      </c>
      <c r="D305">
        <v>10078000</v>
      </c>
    </row>
    <row r="306" spans="1:4" x14ac:dyDescent="0.3">
      <c r="A306" s="1">
        <v>304</v>
      </c>
      <c r="B306" t="s">
        <v>129</v>
      </c>
      <c r="C306" s="2">
        <v>44561</v>
      </c>
      <c r="D306">
        <v>10078000</v>
      </c>
    </row>
    <row r="307" spans="1:4" x14ac:dyDescent="0.3">
      <c r="A307" s="1">
        <v>305</v>
      </c>
      <c r="B307" t="s">
        <v>130</v>
      </c>
      <c r="C307" s="2">
        <v>44561</v>
      </c>
      <c r="D307">
        <v>10078000</v>
      </c>
    </row>
    <row r="308" spans="1:4" x14ac:dyDescent="0.3">
      <c r="A308" s="1">
        <v>306</v>
      </c>
      <c r="B308" t="s">
        <v>131</v>
      </c>
      <c r="C308" s="2">
        <v>44561</v>
      </c>
      <c r="D308">
        <v>-17938000</v>
      </c>
    </row>
    <row r="309" spans="1:4" x14ac:dyDescent="0.3">
      <c r="A309" s="1">
        <v>307</v>
      </c>
      <c r="B309" t="s">
        <v>132</v>
      </c>
      <c r="C309" s="2">
        <v>44561</v>
      </c>
      <c r="D309">
        <v>-2268000</v>
      </c>
    </row>
    <row r="310" spans="1:4" x14ac:dyDescent="0.3">
      <c r="A310" s="1">
        <v>308</v>
      </c>
      <c r="B310" t="s">
        <v>133</v>
      </c>
      <c r="C310" s="2">
        <v>44561</v>
      </c>
      <c r="D310">
        <v>-645000</v>
      </c>
    </row>
    <row r="311" spans="1:4" x14ac:dyDescent="0.3">
      <c r="A311" s="1">
        <v>309</v>
      </c>
      <c r="B311" t="s">
        <v>134</v>
      </c>
      <c r="C311" s="2">
        <v>44561</v>
      </c>
    </row>
    <row r="312" spans="1:4" x14ac:dyDescent="0.3">
      <c r="A312" s="1">
        <v>310</v>
      </c>
      <c r="B312" t="s">
        <v>135</v>
      </c>
      <c r="C312" s="2">
        <v>44561</v>
      </c>
      <c r="D312">
        <v>-15025000</v>
      </c>
    </row>
    <row r="313" spans="1:4" x14ac:dyDescent="0.3">
      <c r="A313" s="1">
        <v>311</v>
      </c>
      <c r="B313" t="s">
        <v>136</v>
      </c>
      <c r="C313" s="2">
        <v>44561</v>
      </c>
      <c r="D313">
        <v>40769000</v>
      </c>
    </row>
    <row r="314" spans="1:4" x14ac:dyDescent="0.3">
      <c r="A314" s="1">
        <v>312</v>
      </c>
      <c r="B314" t="s">
        <v>59</v>
      </c>
      <c r="C314" s="2">
        <v>44196</v>
      </c>
    </row>
    <row r="315" spans="1:4" x14ac:dyDescent="0.3">
      <c r="A315" s="1">
        <v>313</v>
      </c>
      <c r="B315" t="s">
        <v>60</v>
      </c>
      <c r="C315" s="2">
        <v>44196</v>
      </c>
    </row>
    <row r="316" spans="1:4" x14ac:dyDescent="0.3">
      <c r="A316" s="1">
        <v>314</v>
      </c>
      <c r="B316" t="s">
        <v>61</v>
      </c>
      <c r="C316" s="2">
        <v>44196</v>
      </c>
    </row>
    <row r="317" spans="1:4" x14ac:dyDescent="0.3">
      <c r="A317" s="1">
        <v>315</v>
      </c>
      <c r="B317" t="s">
        <v>62</v>
      </c>
      <c r="C317" s="2">
        <v>44196</v>
      </c>
    </row>
    <row r="318" spans="1:4" x14ac:dyDescent="0.3">
      <c r="A318" s="1">
        <v>316</v>
      </c>
      <c r="B318" t="s">
        <v>63</v>
      </c>
      <c r="C318" s="2">
        <v>44196</v>
      </c>
    </row>
    <row r="319" spans="1:4" x14ac:dyDescent="0.3">
      <c r="A319" s="1">
        <v>317</v>
      </c>
      <c r="B319" t="s">
        <v>64</v>
      </c>
      <c r="C319" s="2">
        <v>44196</v>
      </c>
    </row>
    <row r="320" spans="1:4" x14ac:dyDescent="0.3">
      <c r="A320" s="1">
        <v>318</v>
      </c>
      <c r="B320" t="s">
        <v>65</v>
      </c>
      <c r="C320" s="2">
        <v>44196</v>
      </c>
    </row>
    <row r="321" spans="1:4" x14ac:dyDescent="0.3">
      <c r="A321" s="1">
        <v>319</v>
      </c>
      <c r="B321" t="s">
        <v>66</v>
      </c>
      <c r="C321" s="2">
        <v>44196</v>
      </c>
    </row>
    <row r="322" spans="1:4" x14ac:dyDescent="0.3">
      <c r="A322" s="1">
        <v>320</v>
      </c>
      <c r="B322" t="s">
        <v>67</v>
      </c>
      <c r="C322" s="2">
        <v>44196</v>
      </c>
    </row>
    <row r="323" spans="1:4" x14ac:dyDescent="0.3">
      <c r="A323" s="1">
        <v>321</v>
      </c>
      <c r="B323" t="s">
        <v>68</v>
      </c>
      <c r="C323" s="2">
        <v>44196</v>
      </c>
    </row>
    <row r="324" spans="1:4" x14ac:dyDescent="0.3">
      <c r="A324" s="1">
        <v>322</v>
      </c>
      <c r="B324" t="s">
        <v>69</v>
      </c>
      <c r="C324" s="2">
        <v>44196</v>
      </c>
    </row>
    <row r="325" spans="1:4" x14ac:dyDescent="0.3">
      <c r="A325" s="1">
        <v>323</v>
      </c>
      <c r="B325" t="s">
        <v>70</v>
      </c>
      <c r="C325" s="2">
        <v>44196</v>
      </c>
    </row>
    <row r="326" spans="1:4" x14ac:dyDescent="0.3">
      <c r="A326" s="1">
        <v>324</v>
      </c>
      <c r="B326" t="s">
        <v>71</v>
      </c>
      <c r="C326" s="2">
        <v>44196</v>
      </c>
    </row>
    <row r="327" spans="1:4" x14ac:dyDescent="0.3">
      <c r="A327" s="1">
        <v>325</v>
      </c>
      <c r="B327" t="s">
        <v>72</v>
      </c>
      <c r="C327" s="2">
        <v>44196</v>
      </c>
    </row>
    <row r="328" spans="1:4" x14ac:dyDescent="0.3">
      <c r="A328" s="1">
        <v>326</v>
      </c>
      <c r="B328" t="s">
        <v>73</v>
      </c>
      <c r="C328" s="2">
        <v>44196</v>
      </c>
      <c r="D328">
        <v>-221000</v>
      </c>
    </row>
    <row r="329" spans="1:4" x14ac:dyDescent="0.3">
      <c r="A329" s="1">
        <v>327</v>
      </c>
      <c r="B329" t="s">
        <v>74</v>
      </c>
      <c r="C329" s="2">
        <v>44196</v>
      </c>
    </row>
    <row r="330" spans="1:4" x14ac:dyDescent="0.3">
      <c r="A330" s="1">
        <v>328</v>
      </c>
      <c r="B330" t="s">
        <v>75</v>
      </c>
      <c r="C330" s="2">
        <v>44196</v>
      </c>
    </row>
    <row r="331" spans="1:4" x14ac:dyDescent="0.3">
      <c r="A331" s="1">
        <v>329</v>
      </c>
      <c r="B331" t="s">
        <v>76</v>
      </c>
      <c r="C331" s="2">
        <v>44196</v>
      </c>
    </row>
    <row r="332" spans="1:4" x14ac:dyDescent="0.3">
      <c r="A332" s="1">
        <v>330</v>
      </c>
      <c r="B332" t="s">
        <v>77</v>
      </c>
      <c r="C332" s="2">
        <v>44196</v>
      </c>
    </row>
    <row r="333" spans="1:4" x14ac:dyDescent="0.3">
      <c r="A333" s="1">
        <v>331</v>
      </c>
      <c r="B333" t="s">
        <v>78</v>
      </c>
      <c r="C333" s="2">
        <v>44196</v>
      </c>
    </row>
    <row r="334" spans="1:4" x14ac:dyDescent="0.3">
      <c r="A334" s="1">
        <v>332</v>
      </c>
      <c r="B334" t="s">
        <v>79</v>
      </c>
      <c r="C334" s="2">
        <v>44196</v>
      </c>
    </row>
    <row r="335" spans="1:4" x14ac:dyDescent="0.3">
      <c r="A335" s="1">
        <v>333</v>
      </c>
      <c r="B335" t="s">
        <v>80</v>
      </c>
      <c r="C335" s="2">
        <v>44196</v>
      </c>
    </row>
    <row r="336" spans="1:4" x14ac:dyDescent="0.3">
      <c r="A336" s="1">
        <v>334</v>
      </c>
      <c r="B336" t="s">
        <v>81</v>
      </c>
      <c r="C336" s="2">
        <v>44196</v>
      </c>
    </row>
    <row r="337" spans="1:4" x14ac:dyDescent="0.3">
      <c r="A337" s="1">
        <v>335</v>
      </c>
      <c r="B337" t="s">
        <v>82</v>
      </c>
      <c r="C337" s="2">
        <v>44196</v>
      </c>
    </row>
    <row r="338" spans="1:4" x14ac:dyDescent="0.3">
      <c r="A338" s="1">
        <v>336</v>
      </c>
      <c r="B338" t="s">
        <v>83</v>
      </c>
      <c r="C338" s="2">
        <v>44196</v>
      </c>
    </row>
    <row r="339" spans="1:4" x14ac:dyDescent="0.3">
      <c r="A339" s="1">
        <v>337</v>
      </c>
      <c r="B339" t="s">
        <v>84</v>
      </c>
      <c r="C339" s="2">
        <v>44196</v>
      </c>
    </row>
    <row r="340" spans="1:4" x14ac:dyDescent="0.3">
      <c r="A340" s="1">
        <v>338</v>
      </c>
      <c r="B340" t="s">
        <v>85</v>
      </c>
      <c r="C340" s="2">
        <v>44196</v>
      </c>
    </row>
    <row r="341" spans="1:4" x14ac:dyDescent="0.3">
      <c r="A341" s="1">
        <v>339</v>
      </c>
      <c r="B341" t="s">
        <v>86</v>
      </c>
      <c r="C341" s="2">
        <v>44196</v>
      </c>
      <c r="D341">
        <v>5200000</v>
      </c>
    </row>
    <row r="342" spans="1:4" x14ac:dyDescent="0.3">
      <c r="A342" s="1">
        <v>340</v>
      </c>
      <c r="B342" t="s">
        <v>87</v>
      </c>
      <c r="C342" s="2">
        <v>44196</v>
      </c>
    </row>
    <row r="343" spans="1:4" x14ac:dyDescent="0.3">
      <c r="A343" s="1">
        <v>341</v>
      </c>
      <c r="B343" t="s">
        <v>88</v>
      </c>
      <c r="C343" s="2">
        <v>44196</v>
      </c>
    </row>
    <row r="344" spans="1:4" x14ac:dyDescent="0.3">
      <c r="A344" s="1">
        <v>342</v>
      </c>
      <c r="B344" t="s">
        <v>89</v>
      </c>
      <c r="C344" s="2">
        <v>44196</v>
      </c>
    </row>
    <row r="345" spans="1:4" x14ac:dyDescent="0.3">
      <c r="A345" s="1">
        <v>343</v>
      </c>
      <c r="B345" t="s">
        <v>90</v>
      </c>
      <c r="C345" s="2">
        <v>44196</v>
      </c>
    </row>
    <row r="346" spans="1:4" x14ac:dyDescent="0.3">
      <c r="A346" s="1">
        <v>344</v>
      </c>
      <c r="B346" t="s">
        <v>91</v>
      </c>
      <c r="C346" s="2">
        <v>44196</v>
      </c>
    </row>
    <row r="347" spans="1:4" x14ac:dyDescent="0.3">
      <c r="A347" s="1">
        <v>345</v>
      </c>
      <c r="B347" t="s">
        <v>92</v>
      </c>
      <c r="C347" s="2">
        <v>44196</v>
      </c>
      <c r="D347">
        <v>1800000</v>
      </c>
    </row>
    <row r="348" spans="1:4" x14ac:dyDescent="0.3">
      <c r="A348" s="1">
        <v>346</v>
      </c>
      <c r="B348" t="s">
        <v>93</v>
      </c>
      <c r="C348" s="2">
        <v>44196</v>
      </c>
    </row>
    <row r="349" spans="1:4" x14ac:dyDescent="0.3">
      <c r="A349" s="1">
        <v>347</v>
      </c>
      <c r="B349" t="s">
        <v>94</v>
      </c>
      <c r="C349" s="2">
        <v>44196</v>
      </c>
    </row>
    <row r="350" spans="1:4" x14ac:dyDescent="0.3">
      <c r="A350" s="1">
        <v>348</v>
      </c>
      <c r="B350" t="s">
        <v>95</v>
      </c>
      <c r="C350" s="2">
        <v>44196</v>
      </c>
    </row>
    <row r="351" spans="1:4" x14ac:dyDescent="0.3">
      <c r="A351" s="1">
        <v>349</v>
      </c>
      <c r="B351" t="s">
        <v>96</v>
      </c>
      <c r="C351" s="2">
        <v>44196</v>
      </c>
    </row>
    <row r="352" spans="1:4" x14ac:dyDescent="0.3">
      <c r="A352" s="1">
        <v>350</v>
      </c>
      <c r="B352" t="s">
        <v>97</v>
      </c>
      <c r="C352" s="2">
        <v>44196</v>
      </c>
    </row>
    <row r="353" spans="1:4" x14ac:dyDescent="0.3">
      <c r="A353" s="1">
        <v>351</v>
      </c>
      <c r="B353" t="s">
        <v>98</v>
      </c>
      <c r="C353" s="2">
        <v>44196</v>
      </c>
    </row>
    <row r="354" spans="1:4" x14ac:dyDescent="0.3">
      <c r="A354" s="1">
        <v>352</v>
      </c>
      <c r="B354" t="s">
        <v>99</v>
      </c>
      <c r="C354" s="2">
        <v>44196</v>
      </c>
      <c r="D354">
        <v>0</v>
      </c>
    </row>
    <row r="355" spans="1:4" x14ac:dyDescent="0.3">
      <c r="A355" s="1">
        <v>353</v>
      </c>
      <c r="B355" t="s">
        <v>100</v>
      </c>
      <c r="C355" s="2">
        <v>44196</v>
      </c>
    </row>
    <row r="356" spans="1:4" x14ac:dyDescent="0.3">
      <c r="A356" s="1">
        <v>354</v>
      </c>
      <c r="B356" t="s">
        <v>101</v>
      </c>
      <c r="C356" s="2">
        <v>44196</v>
      </c>
      <c r="D356">
        <v>0</v>
      </c>
    </row>
    <row r="357" spans="1:4" x14ac:dyDescent="0.3">
      <c r="A357" s="1">
        <v>355</v>
      </c>
      <c r="B357" t="s">
        <v>102</v>
      </c>
      <c r="C357" s="2">
        <v>44196</v>
      </c>
      <c r="D357">
        <v>0</v>
      </c>
    </row>
    <row r="358" spans="1:4" x14ac:dyDescent="0.3">
      <c r="A358" s="1">
        <v>356</v>
      </c>
      <c r="B358" t="s">
        <v>103</v>
      </c>
      <c r="C358" s="2">
        <v>44196</v>
      </c>
    </row>
    <row r="359" spans="1:4" x14ac:dyDescent="0.3">
      <c r="A359" s="1">
        <v>357</v>
      </c>
      <c r="B359" t="s">
        <v>104</v>
      </c>
      <c r="C359" s="2">
        <v>44196</v>
      </c>
      <c r="D359">
        <v>109000</v>
      </c>
    </row>
    <row r="360" spans="1:4" x14ac:dyDescent="0.3">
      <c r="A360" s="1">
        <v>358</v>
      </c>
      <c r="B360" t="s">
        <v>105</v>
      </c>
      <c r="C360" s="2">
        <v>44196</v>
      </c>
    </row>
    <row r="361" spans="1:4" x14ac:dyDescent="0.3">
      <c r="A361" s="1">
        <v>359</v>
      </c>
      <c r="B361" t="s">
        <v>106</v>
      </c>
      <c r="C361" s="2">
        <v>44196</v>
      </c>
    </row>
    <row r="362" spans="1:4" x14ac:dyDescent="0.3">
      <c r="A362" s="1">
        <v>360</v>
      </c>
      <c r="B362" t="s">
        <v>107</v>
      </c>
      <c r="C362" s="2">
        <v>44196</v>
      </c>
    </row>
    <row r="363" spans="1:4" x14ac:dyDescent="0.3">
      <c r="A363" s="1">
        <v>361</v>
      </c>
      <c r="B363" t="s">
        <v>108</v>
      </c>
      <c r="C363" s="2">
        <v>44196</v>
      </c>
    </row>
    <row r="364" spans="1:4" x14ac:dyDescent="0.3">
      <c r="A364" s="1">
        <v>362</v>
      </c>
      <c r="B364" t="s">
        <v>109</v>
      </c>
      <c r="C364" s="2">
        <v>44196</v>
      </c>
    </row>
    <row r="365" spans="1:4" x14ac:dyDescent="0.3">
      <c r="A365" s="1">
        <v>363</v>
      </c>
      <c r="B365" t="s">
        <v>110</v>
      </c>
      <c r="C365" s="2">
        <v>44196</v>
      </c>
    </row>
    <row r="366" spans="1:4" x14ac:dyDescent="0.3">
      <c r="A366" s="1">
        <v>364</v>
      </c>
      <c r="B366" t="s">
        <v>111</v>
      </c>
      <c r="C366" s="2">
        <v>44196</v>
      </c>
    </row>
    <row r="367" spans="1:4" x14ac:dyDescent="0.3">
      <c r="A367" s="1">
        <v>365</v>
      </c>
      <c r="B367" t="s">
        <v>112</v>
      </c>
      <c r="C367" s="2">
        <v>44196</v>
      </c>
    </row>
    <row r="368" spans="1:4" x14ac:dyDescent="0.3">
      <c r="A368" s="1">
        <v>366</v>
      </c>
      <c r="B368" t="s">
        <v>113</v>
      </c>
      <c r="C368" s="2">
        <v>44196</v>
      </c>
    </row>
    <row r="369" spans="1:4" x14ac:dyDescent="0.3">
      <c r="A369" s="1">
        <v>367</v>
      </c>
      <c r="B369" t="s">
        <v>114</v>
      </c>
      <c r="C369" s="2">
        <v>44196</v>
      </c>
    </row>
    <row r="370" spans="1:4" x14ac:dyDescent="0.3">
      <c r="A370" s="1">
        <v>368</v>
      </c>
      <c r="B370" t="s">
        <v>115</v>
      </c>
      <c r="C370" s="2">
        <v>44196</v>
      </c>
    </row>
    <row r="371" spans="1:4" x14ac:dyDescent="0.3">
      <c r="A371" s="1">
        <v>369</v>
      </c>
      <c r="B371" t="s">
        <v>116</v>
      </c>
      <c r="C371" s="2">
        <v>44196</v>
      </c>
    </row>
    <row r="372" spans="1:4" x14ac:dyDescent="0.3">
      <c r="A372" s="1">
        <v>370</v>
      </c>
      <c r="B372" t="s">
        <v>117</v>
      </c>
      <c r="C372" s="2">
        <v>44196</v>
      </c>
    </row>
    <row r="373" spans="1:4" x14ac:dyDescent="0.3">
      <c r="A373" s="1">
        <v>371</v>
      </c>
      <c r="B373" t="s">
        <v>118</v>
      </c>
      <c r="C373" s="2">
        <v>44196</v>
      </c>
    </row>
    <row r="374" spans="1:4" x14ac:dyDescent="0.3">
      <c r="A374" s="1">
        <v>372</v>
      </c>
      <c r="B374" t="s">
        <v>119</v>
      </c>
      <c r="C374" s="2">
        <v>44196</v>
      </c>
    </row>
    <row r="375" spans="1:4" x14ac:dyDescent="0.3">
      <c r="A375" s="1">
        <v>373</v>
      </c>
      <c r="B375" t="s">
        <v>120</v>
      </c>
      <c r="C375" s="2">
        <v>44196</v>
      </c>
    </row>
    <row r="376" spans="1:4" x14ac:dyDescent="0.3">
      <c r="A376" s="1">
        <v>374</v>
      </c>
      <c r="B376" t="s">
        <v>121</v>
      </c>
      <c r="C376" s="2">
        <v>44196</v>
      </c>
    </row>
    <row r="377" spans="1:4" x14ac:dyDescent="0.3">
      <c r="A377" s="1">
        <v>375</v>
      </c>
      <c r="B377" t="s">
        <v>122</v>
      </c>
      <c r="C377" s="2">
        <v>44196</v>
      </c>
    </row>
    <row r="378" spans="1:4" x14ac:dyDescent="0.3">
      <c r="A378" s="1">
        <v>376</v>
      </c>
      <c r="B378" t="s">
        <v>123</v>
      </c>
      <c r="C378" s="2">
        <v>44196</v>
      </c>
    </row>
    <row r="379" spans="1:4" x14ac:dyDescent="0.3">
      <c r="A379" s="1">
        <v>377</v>
      </c>
      <c r="B379" t="s">
        <v>124</v>
      </c>
      <c r="C379" s="2">
        <v>44196</v>
      </c>
    </row>
    <row r="380" spans="1:4" x14ac:dyDescent="0.3">
      <c r="A380" s="1">
        <v>378</v>
      </c>
      <c r="B380" t="s">
        <v>125</v>
      </c>
      <c r="C380" s="2">
        <v>44196</v>
      </c>
    </row>
    <row r="381" spans="1:4" x14ac:dyDescent="0.3">
      <c r="A381" s="1">
        <v>379</v>
      </c>
      <c r="B381" t="s">
        <v>126</v>
      </c>
      <c r="C381" s="2">
        <v>44196</v>
      </c>
    </row>
    <row r="382" spans="1:4" x14ac:dyDescent="0.3">
      <c r="A382" s="1">
        <v>380</v>
      </c>
      <c r="B382" t="s">
        <v>127</v>
      </c>
      <c r="C382" s="2">
        <v>44196</v>
      </c>
      <c r="D382">
        <v>17773000</v>
      </c>
    </row>
    <row r="383" spans="1:4" x14ac:dyDescent="0.3">
      <c r="A383" s="1">
        <v>381</v>
      </c>
      <c r="B383" t="s">
        <v>128</v>
      </c>
      <c r="C383" s="2">
        <v>44196</v>
      </c>
    </row>
    <row r="384" spans="1:4" x14ac:dyDescent="0.3">
      <c r="A384" s="1">
        <v>382</v>
      </c>
      <c r="B384" t="s">
        <v>129</v>
      </c>
      <c r="C384" s="2">
        <v>44196</v>
      </c>
    </row>
    <row r="385" spans="1:3" x14ac:dyDescent="0.3">
      <c r="A385" s="1">
        <v>383</v>
      </c>
      <c r="B385" t="s">
        <v>130</v>
      </c>
      <c r="C385" s="2">
        <v>44196</v>
      </c>
    </row>
    <row r="386" spans="1:3" x14ac:dyDescent="0.3">
      <c r="A386" s="1">
        <v>384</v>
      </c>
      <c r="B386" t="s">
        <v>131</v>
      </c>
      <c r="C386" s="2">
        <v>44196</v>
      </c>
    </row>
    <row r="387" spans="1:3" x14ac:dyDescent="0.3">
      <c r="A387" s="1">
        <v>385</v>
      </c>
      <c r="B387" t="s">
        <v>132</v>
      </c>
      <c r="C387" s="2">
        <v>44196</v>
      </c>
    </row>
    <row r="388" spans="1:3" x14ac:dyDescent="0.3">
      <c r="A388" s="1">
        <v>386</v>
      </c>
      <c r="B388" t="s">
        <v>133</v>
      </c>
      <c r="C388" s="2">
        <v>44196</v>
      </c>
    </row>
    <row r="389" spans="1:3" x14ac:dyDescent="0.3">
      <c r="A389" s="1">
        <v>387</v>
      </c>
      <c r="B389" t="s">
        <v>134</v>
      </c>
      <c r="C389" s="2">
        <v>44196</v>
      </c>
    </row>
    <row r="390" spans="1:3" x14ac:dyDescent="0.3">
      <c r="A390" s="1">
        <v>388</v>
      </c>
      <c r="B390" t="s">
        <v>135</v>
      </c>
      <c r="C390" s="2">
        <v>44196</v>
      </c>
    </row>
    <row r="391" spans="1:3" x14ac:dyDescent="0.3">
      <c r="A391" s="1">
        <v>389</v>
      </c>
      <c r="B391" t="s">
        <v>136</v>
      </c>
      <c r="C391" s="2">
        <v>44196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471"/>
  <sheetViews>
    <sheetView workbookViewId="0">
      <selection activeCell="D3" sqref="D3"/>
    </sheetView>
  </sheetViews>
  <sheetFormatPr defaultRowHeight="14.4" x14ac:dyDescent="0.3"/>
  <cols>
    <col min="2" max="2" width="44.33203125" bestFit="1" customWidth="1"/>
    <col min="3" max="3" width="18.109375" bestFit="1" customWidth="1"/>
    <col min="4" max="4" width="11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137</v>
      </c>
      <c r="C2" s="2">
        <v>45657</v>
      </c>
      <c r="D2">
        <v>1635783</v>
      </c>
    </row>
    <row r="3" spans="1:4" x14ac:dyDescent="0.3">
      <c r="A3" s="1">
        <v>1</v>
      </c>
      <c r="B3" t="s">
        <v>138</v>
      </c>
      <c r="C3" s="2">
        <v>45657</v>
      </c>
      <c r="D3">
        <v>28429477</v>
      </c>
    </row>
    <row r="4" spans="1:4" hidden="1" x14ac:dyDescent="0.3">
      <c r="A4" s="1">
        <v>2</v>
      </c>
      <c r="B4" t="s">
        <v>139</v>
      </c>
      <c r="C4" s="2">
        <v>45657</v>
      </c>
      <c r="D4">
        <v>30065260</v>
      </c>
    </row>
    <row r="5" spans="1:4" hidden="1" x14ac:dyDescent="0.3">
      <c r="A5" s="1">
        <v>3</v>
      </c>
      <c r="B5" t="s">
        <v>140</v>
      </c>
      <c r="C5" s="2">
        <v>45657</v>
      </c>
      <c r="D5">
        <v>273314000</v>
      </c>
    </row>
    <row r="6" spans="1:4" hidden="1" x14ac:dyDescent="0.3">
      <c r="A6" s="1">
        <v>4</v>
      </c>
      <c r="B6" t="s">
        <v>141</v>
      </c>
      <c r="C6" s="2">
        <v>45657</v>
      </c>
      <c r="D6">
        <v>310559000</v>
      </c>
    </row>
    <row r="7" spans="1:4" hidden="1" x14ac:dyDescent="0.3">
      <c r="A7" s="1">
        <v>5</v>
      </c>
      <c r="B7" t="s">
        <v>142</v>
      </c>
      <c r="C7" s="2">
        <v>45657</v>
      </c>
      <c r="D7">
        <v>-208819000</v>
      </c>
    </row>
    <row r="8" spans="1:4" hidden="1" x14ac:dyDescent="0.3">
      <c r="A8" s="1">
        <v>6</v>
      </c>
      <c r="B8" t="s">
        <v>143</v>
      </c>
      <c r="C8" s="2">
        <v>45657</v>
      </c>
      <c r="D8">
        <v>149175000</v>
      </c>
    </row>
    <row r="9" spans="1:4" hidden="1" x14ac:dyDescent="0.3">
      <c r="A9" s="1">
        <v>7</v>
      </c>
      <c r="B9" t="s">
        <v>144</v>
      </c>
      <c r="C9" s="2">
        <v>45657</v>
      </c>
      <c r="D9">
        <v>13592000</v>
      </c>
    </row>
    <row r="10" spans="1:4" hidden="1" x14ac:dyDescent="0.3">
      <c r="A10" s="1">
        <v>8</v>
      </c>
      <c r="B10" t="s">
        <v>145</v>
      </c>
      <c r="C10" s="2">
        <v>45657</v>
      </c>
      <c r="D10">
        <v>-208819000</v>
      </c>
    </row>
    <row r="11" spans="1:4" hidden="1" x14ac:dyDescent="0.3">
      <c r="A11" s="1">
        <v>9</v>
      </c>
      <c r="B11" t="s">
        <v>146</v>
      </c>
      <c r="C11" s="2">
        <v>45657</v>
      </c>
      <c r="D11">
        <v>12935000</v>
      </c>
    </row>
    <row r="12" spans="1:4" hidden="1" x14ac:dyDescent="0.3">
      <c r="A12" s="1">
        <v>10</v>
      </c>
      <c r="B12" t="s">
        <v>147</v>
      </c>
      <c r="C12" s="2">
        <v>45657</v>
      </c>
      <c r="D12">
        <v>-148449000</v>
      </c>
    </row>
    <row r="13" spans="1:4" hidden="1" x14ac:dyDescent="0.3">
      <c r="A13" s="1">
        <v>11</v>
      </c>
      <c r="B13" t="s">
        <v>148</v>
      </c>
      <c r="C13" s="2">
        <v>45657</v>
      </c>
    </row>
    <row r="14" spans="1:4" hidden="1" x14ac:dyDescent="0.3">
      <c r="A14" s="1">
        <v>12</v>
      </c>
      <c r="B14" t="s">
        <v>149</v>
      </c>
      <c r="C14" s="2">
        <v>45657</v>
      </c>
      <c r="D14">
        <v>136554000</v>
      </c>
    </row>
    <row r="15" spans="1:4" hidden="1" x14ac:dyDescent="0.3">
      <c r="A15" s="1">
        <v>13</v>
      </c>
      <c r="B15" t="s">
        <v>150</v>
      </c>
      <c r="C15" s="2">
        <v>45657</v>
      </c>
      <c r="D15">
        <v>465032000</v>
      </c>
    </row>
    <row r="16" spans="1:4" hidden="1" x14ac:dyDescent="0.3">
      <c r="A16" s="1">
        <v>14</v>
      </c>
      <c r="B16" t="s">
        <v>151</v>
      </c>
      <c r="C16" s="2">
        <v>45657</v>
      </c>
      <c r="D16">
        <v>613481000</v>
      </c>
    </row>
    <row r="17" spans="1:4" hidden="1" x14ac:dyDescent="0.3">
      <c r="A17" s="1">
        <v>15</v>
      </c>
      <c r="B17" t="s">
        <v>152</v>
      </c>
      <c r="C17" s="2">
        <v>45657</v>
      </c>
      <c r="D17">
        <v>-148449000</v>
      </c>
    </row>
    <row r="18" spans="1:4" hidden="1" x14ac:dyDescent="0.3">
      <c r="A18" s="1">
        <v>16</v>
      </c>
      <c r="B18" t="s">
        <v>153</v>
      </c>
      <c r="C18" s="2">
        <v>45657</v>
      </c>
      <c r="D18">
        <v>152000</v>
      </c>
    </row>
    <row r="19" spans="1:4" hidden="1" x14ac:dyDescent="0.3">
      <c r="A19" s="1">
        <v>17</v>
      </c>
      <c r="B19" t="s">
        <v>154</v>
      </c>
      <c r="C19" s="2">
        <v>45657</v>
      </c>
      <c r="D19">
        <v>152000</v>
      </c>
    </row>
    <row r="20" spans="1:4" hidden="1" x14ac:dyDescent="0.3">
      <c r="A20" s="1">
        <v>18</v>
      </c>
      <c r="B20" t="s">
        <v>155</v>
      </c>
      <c r="C20" s="2">
        <v>45657</v>
      </c>
      <c r="D20">
        <v>11614000</v>
      </c>
    </row>
    <row r="21" spans="1:4" hidden="1" x14ac:dyDescent="0.3">
      <c r="A21" s="1">
        <v>19</v>
      </c>
      <c r="B21" t="s">
        <v>156</v>
      </c>
      <c r="C21" s="2">
        <v>45657</v>
      </c>
      <c r="D21">
        <v>-137004000</v>
      </c>
    </row>
    <row r="22" spans="1:4" hidden="1" x14ac:dyDescent="0.3">
      <c r="A22" s="1">
        <v>20</v>
      </c>
      <c r="B22" t="s">
        <v>157</v>
      </c>
      <c r="C22" s="2">
        <v>45657</v>
      </c>
      <c r="D22">
        <v>0</v>
      </c>
    </row>
    <row r="23" spans="1:4" hidden="1" x14ac:dyDescent="0.3">
      <c r="A23" s="1">
        <v>21</v>
      </c>
      <c r="B23" t="s">
        <v>158</v>
      </c>
      <c r="C23" s="2">
        <v>45657</v>
      </c>
      <c r="D23">
        <v>17000</v>
      </c>
    </row>
    <row r="24" spans="1:4" hidden="1" x14ac:dyDescent="0.3">
      <c r="A24" s="1">
        <v>22</v>
      </c>
      <c r="B24" t="s">
        <v>159</v>
      </c>
      <c r="C24" s="2">
        <v>45657</v>
      </c>
      <c r="D24">
        <v>17000</v>
      </c>
    </row>
    <row r="25" spans="1:4" hidden="1" x14ac:dyDescent="0.3">
      <c r="A25" s="1">
        <v>23</v>
      </c>
      <c r="B25" t="s">
        <v>160</v>
      </c>
      <c r="C25" s="2">
        <v>45657</v>
      </c>
    </row>
    <row r="26" spans="1:4" hidden="1" x14ac:dyDescent="0.3">
      <c r="A26" s="1">
        <v>24</v>
      </c>
      <c r="B26" t="s">
        <v>161</v>
      </c>
      <c r="C26" s="2">
        <v>45657</v>
      </c>
    </row>
    <row r="27" spans="1:4" hidden="1" x14ac:dyDescent="0.3">
      <c r="A27" s="1">
        <v>25</v>
      </c>
      <c r="B27" t="s">
        <v>162</v>
      </c>
      <c r="C27" s="2">
        <v>45657</v>
      </c>
    </row>
    <row r="28" spans="1:4" hidden="1" x14ac:dyDescent="0.3">
      <c r="A28" s="1">
        <v>26</v>
      </c>
      <c r="B28" t="s">
        <v>163</v>
      </c>
      <c r="C28" s="2">
        <v>45657</v>
      </c>
      <c r="D28">
        <v>416045000</v>
      </c>
    </row>
    <row r="29" spans="1:4" hidden="1" x14ac:dyDescent="0.3">
      <c r="A29" s="1">
        <v>27</v>
      </c>
      <c r="B29" t="s">
        <v>164</v>
      </c>
      <c r="C29" s="2">
        <v>45657</v>
      </c>
      <c r="D29">
        <v>312449000</v>
      </c>
    </row>
    <row r="30" spans="1:4" hidden="1" x14ac:dyDescent="0.3">
      <c r="A30" s="1">
        <v>28</v>
      </c>
      <c r="B30" t="s">
        <v>165</v>
      </c>
      <c r="C30" s="2">
        <v>45657</v>
      </c>
      <c r="D30">
        <v>10146000</v>
      </c>
    </row>
    <row r="31" spans="1:4" hidden="1" x14ac:dyDescent="0.3">
      <c r="A31" s="1">
        <v>29</v>
      </c>
      <c r="B31" t="s">
        <v>166</v>
      </c>
      <c r="C31" s="2">
        <v>45657</v>
      </c>
    </row>
    <row r="32" spans="1:4" hidden="1" x14ac:dyDescent="0.3">
      <c r="A32" s="1">
        <v>30</v>
      </c>
      <c r="B32" t="s">
        <v>167</v>
      </c>
      <c r="C32" s="2">
        <v>45657</v>
      </c>
      <c r="D32">
        <v>63000</v>
      </c>
    </row>
    <row r="33" spans="1:4" hidden="1" x14ac:dyDescent="0.3">
      <c r="A33" s="1">
        <v>31</v>
      </c>
      <c r="B33" t="s">
        <v>168</v>
      </c>
      <c r="C33" s="2">
        <v>45657</v>
      </c>
      <c r="D33">
        <v>297158000</v>
      </c>
    </row>
    <row r="34" spans="1:4" hidden="1" x14ac:dyDescent="0.3">
      <c r="A34" s="1">
        <v>32</v>
      </c>
      <c r="B34" t="s">
        <v>169</v>
      </c>
      <c r="C34" s="2">
        <v>45657</v>
      </c>
      <c r="D34">
        <v>12155000</v>
      </c>
    </row>
    <row r="35" spans="1:4" hidden="1" x14ac:dyDescent="0.3">
      <c r="A35" s="1">
        <v>33</v>
      </c>
      <c r="B35" t="s">
        <v>170</v>
      </c>
      <c r="C35" s="2">
        <v>45657</v>
      </c>
      <c r="D35">
        <v>285003000</v>
      </c>
    </row>
    <row r="36" spans="1:4" hidden="1" x14ac:dyDescent="0.3">
      <c r="A36" s="1">
        <v>34</v>
      </c>
      <c r="B36" t="s">
        <v>171</v>
      </c>
      <c r="C36" s="2">
        <v>45657</v>
      </c>
      <c r="D36">
        <v>5082000</v>
      </c>
    </row>
    <row r="37" spans="1:4" hidden="1" x14ac:dyDescent="0.3">
      <c r="A37" s="1">
        <v>35</v>
      </c>
      <c r="B37" t="s">
        <v>172</v>
      </c>
      <c r="C37" s="2">
        <v>45657</v>
      </c>
      <c r="D37">
        <v>103596000</v>
      </c>
    </row>
    <row r="38" spans="1:4" hidden="1" x14ac:dyDescent="0.3">
      <c r="A38" s="1">
        <v>36</v>
      </c>
      <c r="B38" t="s">
        <v>173</v>
      </c>
      <c r="C38" s="2">
        <v>45657</v>
      </c>
      <c r="D38">
        <v>1604000</v>
      </c>
    </row>
    <row r="39" spans="1:4" hidden="1" x14ac:dyDescent="0.3">
      <c r="A39" s="1">
        <v>37</v>
      </c>
      <c r="B39" t="s">
        <v>174</v>
      </c>
      <c r="C39" s="2">
        <v>45657</v>
      </c>
      <c r="D39">
        <v>9276000</v>
      </c>
    </row>
    <row r="40" spans="1:4" hidden="1" x14ac:dyDescent="0.3">
      <c r="A40" s="1">
        <v>38</v>
      </c>
      <c r="B40" t="s">
        <v>175</v>
      </c>
      <c r="C40" s="2">
        <v>45657</v>
      </c>
      <c r="D40">
        <v>9276000</v>
      </c>
    </row>
    <row r="41" spans="1:4" hidden="1" x14ac:dyDescent="0.3">
      <c r="A41" s="1">
        <v>39</v>
      </c>
      <c r="B41" t="s">
        <v>176</v>
      </c>
      <c r="C41" s="2">
        <v>45657</v>
      </c>
      <c r="D41">
        <v>13401000</v>
      </c>
    </row>
    <row r="42" spans="1:4" hidden="1" x14ac:dyDescent="0.3">
      <c r="A42" s="1">
        <v>40</v>
      </c>
      <c r="B42" t="s">
        <v>177</v>
      </c>
      <c r="C42" s="2">
        <v>45657</v>
      </c>
      <c r="D42">
        <v>780000</v>
      </c>
    </row>
    <row r="43" spans="1:4" hidden="1" x14ac:dyDescent="0.3">
      <c r="A43" s="1">
        <v>41</v>
      </c>
      <c r="B43" t="s">
        <v>178</v>
      </c>
      <c r="C43" s="2">
        <v>45657</v>
      </c>
      <c r="D43">
        <v>12621000</v>
      </c>
    </row>
    <row r="44" spans="1:4" hidden="1" x14ac:dyDescent="0.3">
      <c r="A44" s="1">
        <v>42</v>
      </c>
      <c r="B44" t="s">
        <v>179</v>
      </c>
      <c r="C44" s="2">
        <v>45657</v>
      </c>
      <c r="D44">
        <v>12621000</v>
      </c>
    </row>
    <row r="45" spans="1:4" hidden="1" x14ac:dyDescent="0.3">
      <c r="A45" s="1">
        <v>43</v>
      </c>
      <c r="B45" t="s">
        <v>180</v>
      </c>
      <c r="C45" s="2">
        <v>45657</v>
      </c>
    </row>
    <row r="46" spans="1:4" hidden="1" x14ac:dyDescent="0.3">
      <c r="A46" s="1">
        <v>44</v>
      </c>
      <c r="B46" t="s">
        <v>181</v>
      </c>
      <c r="C46" s="2">
        <v>45657</v>
      </c>
      <c r="D46">
        <v>2804000</v>
      </c>
    </row>
    <row r="47" spans="1:4" hidden="1" x14ac:dyDescent="0.3">
      <c r="A47" s="1">
        <v>45</v>
      </c>
      <c r="B47" t="s">
        <v>182</v>
      </c>
      <c r="C47" s="2">
        <v>45657</v>
      </c>
      <c r="D47">
        <v>76511000</v>
      </c>
    </row>
    <row r="48" spans="1:4" hidden="1" x14ac:dyDescent="0.3">
      <c r="A48" s="1">
        <v>46</v>
      </c>
      <c r="B48" t="s">
        <v>183</v>
      </c>
      <c r="C48" s="2">
        <v>45657</v>
      </c>
      <c r="D48">
        <v>47738000</v>
      </c>
    </row>
    <row r="49" spans="1:4" hidden="1" x14ac:dyDescent="0.3">
      <c r="A49" s="1">
        <v>47</v>
      </c>
      <c r="B49" t="s">
        <v>184</v>
      </c>
      <c r="C49" s="2">
        <v>45657</v>
      </c>
      <c r="D49">
        <v>28773000</v>
      </c>
    </row>
    <row r="50" spans="1:4" hidden="1" x14ac:dyDescent="0.3">
      <c r="A50" s="1">
        <v>48</v>
      </c>
      <c r="B50" t="s">
        <v>185</v>
      </c>
      <c r="C50" s="2">
        <v>45657</v>
      </c>
      <c r="D50">
        <v>7932000</v>
      </c>
    </row>
    <row r="51" spans="1:4" hidden="1" x14ac:dyDescent="0.3">
      <c r="A51" s="1">
        <v>49</v>
      </c>
      <c r="B51" t="s">
        <v>186</v>
      </c>
      <c r="C51" s="2">
        <v>45657</v>
      </c>
      <c r="D51">
        <v>4422000</v>
      </c>
    </row>
    <row r="52" spans="1:4" hidden="1" x14ac:dyDescent="0.3">
      <c r="A52" s="1">
        <v>50</v>
      </c>
      <c r="B52" t="s">
        <v>187</v>
      </c>
      <c r="C52" s="2">
        <v>45657</v>
      </c>
      <c r="D52">
        <v>16419000</v>
      </c>
    </row>
    <row r="53" spans="1:4" hidden="1" x14ac:dyDescent="0.3">
      <c r="A53" s="1">
        <v>51</v>
      </c>
      <c r="B53" t="s">
        <v>188</v>
      </c>
      <c r="C53" s="2">
        <v>45657</v>
      </c>
      <c r="D53">
        <v>881077000</v>
      </c>
    </row>
    <row r="54" spans="1:4" hidden="1" x14ac:dyDescent="0.3">
      <c r="A54" s="1">
        <v>52</v>
      </c>
      <c r="B54" t="s">
        <v>189</v>
      </c>
      <c r="C54" s="2">
        <v>45657</v>
      </c>
      <c r="D54">
        <v>763889000</v>
      </c>
    </row>
    <row r="55" spans="1:4" hidden="1" x14ac:dyDescent="0.3">
      <c r="A55" s="1">
        <v>53</v>
      </c>
      <c r="B55" t="s">
        <v>190</v>
      </c>
      <c r="C55" s="2">
        <v>45657</v>
      </c>
      <c r="D55">
        <v>10411000</v>
      </c>
    </row>
    <row r="56" spans="1:4" hidden="1" x14ac:dyDescent="0.3">
      <c r="A56" s="1">
        <v>54</v>
      </c>
      <c r="B56" t="s">
        <v>191</v>
      </c>
      <c r="C56" s="2">
        <v>45657</v>
      </c>
    </row>
    <row r="57" spans="1:4" hidden="1" x14ac:dyDescent="0.3">
      <c r="A57" s="1">
        <v>55</v>
      </c>
      <c r="B57" t="s">
        <v>192</v>
      </c>
      <c r="C57" s="2">
        <v>45657</v>
      </c>
      <c r="D57">
        <v>2509000</v>
      </c>
    </row>
    <row r="58" spans="1:4" hidden="1" x14ac:dyDescent="0.3">
      <c r="A58" s="1">
        <v>56</v>
      </c>
      <c r="B58" t="s">
        <v>193</v>
      </c>
      <c r="C58" s="2">
        <v>45657</v>
      </c>
      <c r="D58">
        <v>448000</v>
      </c>
    </row>
    <row r="59" spans="1:4" hidden="1" x14ac:dyDescent="0.3">
      <c r="A59" s="1">
        <v>57</v>
      </c>
      <c r="B59" t="s">
        <v>194</v>
      </c>
      <c r="C59" s="2">
        <v>45657</v>
      </c>
      <c r="D59">
        <v>223594000</v>
      </c>
    </row>
    <row r="60" spans="1:4" hidden="1" x14ac:dyDescent="0.3">
      <c r="A60" s="1">
        <v>58</v>
      </c>
      <c r="B60" t="s">
        <v>195</v>
      </c>
      <c r="C60" s="2">
        <v>45657</v>
      </c>
      <c r="D60">
        <v>223594000</v>
      </c>
    </row>
    <row r="61" spans="1:4" hidden="1" x14ac:dyDescent="0.3">
      <c r="A61" s="1">
        <v>59</v>
      </c>
      <c r="B61" t="s">
        <v>196</v>
      </c>
      <c r="C61" s="2">
        <v>45657</v>
      </c>
    </row>
    <row r="62" spans="1:4" hidden="1" x14ac:dyDescent="0.3">
      <c r="A62" s="1">
        <v>60</v>
      </c>
      <c r="B62" t="s">
        <v>197</v>
      </c>
      <c r="C62" s="2">
        <v>45657</v>
      </c>
      <c r="D62">
        <v>223594000</v>
      </c>
    </row>
    <row r="63" spans="1:4" hidden="1" x14ac:dyDescent="0.3">
      <c r="A63" s="1">
        <v>61</v>
      </c>
      <c r="B63" t="s">
        <v>198</v>
      </c>
      <c r="C63" s="2">
        <v>45657</v>
      </c>
      <c r="D63">
        <v>60370000</v>
      </c>
    </row>
    <row r="64" spans="1:4" hidden="1" x14ac:dyDescent="0.3">
      <c r="A64" s="1">
        <v>62</v>
      </c>
      <c r="B64" t="s">
        <v>199</v>
      </c>
      <c r="C64" s="2">
        <v>45657</v>
      </c>
      <c r="D64">
        <v>5762000</v>
      </c>
    </row>
    <row r="65" spans="1:4" hidden="1" x14ac:dyDescent="0.3">
      <c r="A65" s="1">
        <v>63</v>
      </c>
      <c r="B65" t="s">
        <v>200</v>
      </c>
      <c r="C65" s="2">
        <v>45657</v>
      </c>
      <c r="D65">
        <v>54608000</v>
      </c>
    </row>
    <row r="66" spans="1:4" hidden="1" x14ac:dyDescent="0.3">
      <c r="A66" s="1">
        <v>64</v>
      </c>
      <c r="B66" t="s">
        <v>201</v>
      </c>
      <c r="C66" s="2">
        <v>45657</v>
      </c>
      <c r="D66">
        <v>466557000</v>
      </c>
    </row>
    <row r="67" spans="1:4" hidden="1" x14ac:dyDescent="0.3">
      <c r="A67" s="1">
        <v>65</v>
      </c>
      <c r="B67" t="s">
        <v>202</v>
      </c>
      <c r="C67" s="2">
        <v>45657</v>
      </c>
      <c r="D67">
        <v>-116241000</v>
      </c>
    </row>
    <row r="68" spans="1:4" hidden="1" x14ac:dyDescent="0.3">
      <c r="A68" s="1">
        <v>66</v>
      </c>
      <c r="B68" t="s">
        <v>203</v>
      </c>
      <c r="C68" s="2">
        <v>45657</v>
      </c>
      <c r="D68">
        <v>582798000</v>
      </c>
    </row>
    <row r="69" spans="1:4" hidden="1" x14ac:dyDescent="0.3">
      <c r="A69" s="1">
        <v>67</v>
      </c>
      <c r="B69" t="s">
        <v>204</v>
      </c>
      <c r="C69" s="2">
        <v>45657</v>
      </c>
      <c r="D69">
        <v>13028000</v>
      </c>
    </row>
    <row r="70" spans="1:4" hidden="1" x14ac:dyDescent="0.3">
      <c r="A70" s="1">
        <v>68</v>
      </c>
      <c r="B70" t="s">
        <v>205</v>
      </c>
      <c r="C70" s="2">
        <v>45657</v>
      </c>
      <c r="D70">
        <v>169571000</v>
      </c>
    </row>
    <row r="71" spans="1:4" hidden="1" x14ac:dyDescent="0.3">
      <c r="A71" s="1">
        <v>69</v>
      </c>
      <c r="B71" t="s">
        <v>206</v>
      </c>
      <c r="C71" s="2">
        <v>45657</v>
      </c>
      <c r="D71">
        <v>331300000</v>
      </c>
    </row>
    <row r="72" spans="1:4" hidden="1" x14ac:dyDescent="0.3">
      <c r="A72" s="1">
        <v>70</v>
      </c>
      <c r="B72" t="s">
        <v>207</v>
      </c>
      <c r="C72" s="2">
        <v>45657</v>
      </c>
    </row>
    <row r="73" spans="1:4" hidden="1" x14ac:dyDescent="0.3">
      <c r="A73" s="1">
        <v>71</v>
      </c>
      <c r="B73" t="s">
        <v>208</v>
      </c>
      <c r="C73" s="2">
        <v>45657</v>
      </c>
    </row>
    <row r="74" spans="1:4" hidden="1" x14ac:dyDescent="0.3">
      <c r="A74" s="1">
        <v>72</v>
      </c>
      <c r="B74" t="s">
        <v>209</v>
      </c>
      <c r="C74" s="2">
        <v>45657</v>
      </c>
    </row>
    <row r="75" spans="1:4" hidden="1" x14ac:dyDescent="0.3">
      <c r="A75" s="1">
        <v>73</v>
      </c>
      <c r="B75" t="s">
        <v>210</v>
      </c>
      <c r="C75" s="2">
        <v>45657</v>
      </c>
    </row>
    <row r="76" spans="1:4" hidden="1" x14ac:dyDescent="0.3">
      <c r="A76" s="1">
        <v>74</v>
      </c>
      <c r="B76" t="s">
        <v>211</v>
      </c>
      <c r="C76" s="2">
        <v>45657</v>
      </c>
      <c r="D76">
        <v>117188000</v>
      </c>
    </row>
    <row r="77" spans="1:4" hidden="1" x14ac:dyDescent="0.3">
      <c r="A77" s="1">
        <v>75</v>
      </c>
      <c r="B77" t="s">
        <v>212</v>
      </c>
      <c r="C77" s="2">
        <v>45657</v>
      </c>
      <c r="D77">
        <v>11051000</v>
      </c>
    </row>
    <row r="78" spans="1:4" hidden="1" x14ac:dyDescent="0.3">
      <c r="A78" s="1">
        <v>76</v>
      </c>
      <c r="B78" t="s">
        <v>213</v>
      </c>
      <c r="C78" s="2">
        <v>45657</v>
      </c>
      <c r="D78">
        <v>238000</v>
      </c>
    </row>
    <row r="79" spans="1:4" hidden="1" x14ac:dyDescent="0.3">
      <c r="A79" s="1">
        <v>77</v>
      </c>
      <c r="B79" t="s">
        <v>214</v>
      </c>
      <c r="C79" s="2">
        <v>45657</v>
      </c>
      <c r="D79">
        <v>6314000</v>
      </c>
    </row>
    <row r="80" spans="1:4" hidden="1" x14ac:dyDescent="0.3">
      <c r="A80" s="1">
        <v>78</v>
      </c>
      <c r="B80" t="s">
        <v>215</v>
      </c>
      <c r="C80" s="2">
        <v>45657</v>
      </c>
      <c r="D80">
        <v>972000</v>
      </c>
    </row>
    <row r="81" spans="1:4" hidden="1" x14ac:dyDescent="0.3">
      <c r="A81" s="1">
        <v>79</v>
      </c>
      <c r="B81" t="s">
        <v>216</v>
      </c>
      <c r="C81" s="2">
        <v>45657</v>
      </c>
    </row>
    <row r="82" spans="1:4" hidden="1" x14ac:dyDescent="0.3">
      <c r="A82" s="1">
        <v>80</v>
      </c>
      <c r="B82" t="s">
        <v>217</v>
      </c>
      <c r="C82" s="2">
        <v>45657</v>
      </c>
      <c r="D82">
        <v>10294000</v>
      </c>
    </row>
    <row r="83" spans="1:4" hidden="1" x14ac:dyDescent="0.3">
      <c r="A83" s="1">
        <v>81</v>
      </c>
      <c r="B83" t="s">
        <v>218</v>
      </c>
      <c r="C83" s="2">
        <v>45657</v>
      </c>
    </row>
    <row r="84" spans="1:4" hidden="1" x14ac:dyDescent="0.3">
      <c r="A84" s="1">
        <v>82</v>
      </c>
      <c r="B84" t="s">
        <v>219</v>
      </c>
      <c r="C84" s="2">
        <v>45657</v>
      </c>
    </row>
    <row r="85" spans="1:4" hidden="1" x14ac:dyDescent="0.3">
      <c r="A85" s="1">
        <v>83</v>
      </c>
      <c r="B85" t="s">
        <v>220</v>
      </c>
      <c r="C85" s="2">
        <v>45657</v>
      </c>
      <c r="D85">
        <v>64009000</v>
      </c>
    </row>
    <row r="86" spans="1:4" hidden="1" x14ac:dyDescent="0.3">
      <c r="A86" s="1">
        <v>84</v>
      </c>
      <c r="B86" t="s">
        <v>221</v>
      </c>
      <c r="C86" s="2">
        <v>45657</v>
      </c>
    </row>
    <row r="87" spans="1:4" hidden="1" x14ac:dyDescent="0.3">
      <c r="A87" s="1">
        <v>85</v>
      </c>
      <c r="B87" t="s">
        <v>222</v>
      </c>
      <c r="C87" s="2">
        <v>45657</v>
      </c>
      <c r="D87">
        <v>14522000</v>
      </c>
    </row>
    <row r="88" spans="1:4" hidden="1" x14ac:dyDescent="0.3">
      <c r="A88" s="1">
        <v>86</v>
      </c>
      <c r="B88" t="s">
        <v>223</v>
      </c>
      <c r="C88" s="2">
        <v>45657</v>
      </c>
      <c r="D88">
        <v>5639000</v>
      </c>
    </row>
    <row r="89" spans="1:4" hidden="1" x14ac:dyDescent="0.3">
      <c r="A89" s="1">
        <v>87</v>
      </c>
      <c r="B89" t="s">
        <v>224</v>
      </c>
      <c r="C89" s="2">
        <v>45657</v>
      </c>
      <c r="D89">
        <v>760000</v>
      </c>
    </row>
    <row r="90" spans="1:4" hidden="1" x14ac:dyDescent="0.3">
      <c r="A90" s="1">
        <v>88</v>
      </c>
      <c r="B90" t="s">
        <v>225</v>
      </c>
      <c r="C90" s="2">
        <v>45657</v>
      </c>
      <c r="D90">
        <v>32013000</v>
      </c>
    </row>
    <row r="91" spans="1:4" hidden="1" x14ac:dyDescent="0.3">
      <c r="A91" s="1">
        <v>89</v>
      </c>
      <c r="B91" t="s">
        <v>226</v>
      </c>
      <c r="C91" s="2">
        <v>45657</v>
      </c>
    </row>
    <row r="92" spans="1:4" hidden="1" x14ac:dyDescent="0.3">
      <c r="A92" s="1">
        <v>90</v>
      </c>
      <c r="B92" t="s">
        <v>227</v>
      </c>
      <c r="C92" s="2">
        <v>45657</v>
      </c>
    </row>
    <row r="93" spans="1:4" hidden="1" x14ac:dyDescent="0.3">
      <c r="A93" s="1">
        <v>91</v>
      </c>
      <c r="B93" t="s">
        <v>228</v>
      </c>
      <c r="C93" s="2">
        <v>45657</v>
      </c>
      <c r="D93">
        <v>24310000</v>
      </c>
    </row>
    <row r="94" spans="1:4" hidden="1" x14ac:dyDescent="0.3">
      <c r="A94" s="1">
        <v>92</v>
      </c>
      <c r="B94" t="s">
        <v>229</v>
      </c>
      <c r="C94" s="2">
        <v>45657</v>
      </c>
      <c r="D94">
        <v>0</v>
      </c>
    </row>
    <row r="95" spans="1:4" hidden="1" x14ac:dyDescent="0.3">
      <c r="A95" s="1">
        <v>93</v>
      </c>
      <c r="B95" t="s">
        <v>230</v>
      </c>
      <c r="C95" s="2">
        <v>45657</v>
      </c>
      <c r="D95">
        <v>24310000</v>
      </c>
    </row>
    <row r="96" spans="1:4" x14ac:dyDescent="0.3">
      <c r="A96" s="1">
        <v>94</v>
      </c>
      <c r="B96" t="s">
        <v>137</v>
      </c>
      <c r="C96" s="2">
        <v>45291</v>
      </c>
      <c r="D96">
        <v>1635783</v>
      </c>
    </row>
    <row r="97" spans="1:4" x14ac:dyDescent="0.3">
      <c r="A97" s="1">
        <v>95</v>
      </c>
      <c r="B97" t="s">
        <v>138</v>
      </c>
      <c r="C97" s="2">
        <v>45291</v>
      </c>
      <c r="D97">
        <v>28065363</v>
      </c>
    </row>
    <row r="98" spans="1:4" hidden="1" x14ac:dyDescent="0.3">
      <c r="A98" s="1">
        <v>96</v>
      </c>
      <c r="B98" t="s">
        <v>139</v>
      </c>
      <c r="C98" s="2">
        <v>45291</v>
      </c>
      <c r="D98">
        <v>29701146</v>
      </c>
    </row>
    <row r="99" spans="1:4" hidden="1" x14ac:dyDescent="0.3">
      <c r="A99" s="1">
        <v>97</v>
      </c>
      <c r="B99" t="s">
        <v>140</v>
      </c>
      <c r="C99" s="2">
        <v>45291</v>
      </c>
      <c r="D99">
        <v>159802000</v>
      </c>
    </row>
    <row r="100" spans="1:4" hidden="1" x14ac:dyDescent="0.3">
      <c r="A100" s="1">
        <v>98</v>
      </c>
      <c r="B100" t="s">
        <v>141</v>
      </c>
      <c r="C100" s="2">
        <v>45291</v>
      </c>
      <c r="D100">
        <v>210612000</v>
      </c>
    </row>
    <row r="101" spans="1:4" hidden="1" x14ac:dyDescent="0.3">
      <c r="A101" s="1">
        <v>99</v>
      </c>
      <c r="B101" t="s">
        <v>142</v>
      </c>
      <c r="C101" s="2">
        <v>45291</v>
      </c>
      <c r="D101">
        <v>-539901000</v>
      </c>
    </row>
    <row r="102" spans="1:4" hidden="1" x14ac:dyDescent="0.3">
      <c r="A102" s="1">
        <v>100</v>
      </c>
      <c r="B102" t="s">
        <v>143</v>
      </c>
      <c r="C102" s="2">
        <v>45291</v>
      </c>
      <c r="D102">
        <v>-280657000</v>
      </c>
    </row>
    <row r="103" spans="1:4" hidden="1" x14ac:dyDescent="0.3">
      <c r="A103" s="1">
        <v>101</v>
      </c>
      <c r="B103" t="s">
        <v>144</v>
      </c>
      <c r="C103" s="2">
        <v>45291</v>
      </c>
      <c r="D103">
        <v>53730000</v>
      </c>
    </row>
    <row r="104" spans="1:4" hidden="1" x14ac:dyDescent="0.3">
      <c r="A104" s="1">
        <v>102</v>
      </c>
      <c r="B104" t="s">
        <v>145</v>
      </c>
      <c r="C104" s="2">
        <v>45291</v>
      </c>
      <c r="D104">
        <v>-539901000</v>
      </c>
    </row>
    <row r="105" spans="1:4" hidden="1" x14ac:dyDescent="0.3">
      <c r="A105" s="1">
        <v>103</v>
      </c>
      <c r="B105" t="s">
        <v>146</v>
      </c>
      <c r="C105" s="2">
        <v>45291</v>
      </c>
      <c r="D105">
        <v>12462000</v>
      </c>
    </row>
    <row r="106" spans="1:4" hidden="1" x14ac:dyDescent="0.3">
      <c r="A106" s="1">
        <v>104</v>
      </c>
      <c r="B106" t="s">
        <v>147</v>
      </c>
      <c r="C106" s="2">
        <v>45291</v>
      </c>
      <c r="D106">
        <v>-478807000</v>
      </c>
    </row>
    <row r="107" spans="1:4" hidden="1" x14ac:dyDescent="0.3">
      <c r="A107" s="1">
        <v>105</v>
      </c>
      <c r="B107" t="s">
        <v>148</v>
      </c>
      <c r="C107" s="2">
        <v>45291</v>
      </c>
      <c r="D107">
        <v>132617000</v>
      </c>
    </row>
    <row r="108" spans="1:4" hidden="1" x14ac:dyDescent="0.3">
      <c r="A108" s="1">
        <v>106</v>
      </c>
      <c r="B108" t="s">
        <v>149</v>
      </c>
      <c r="C108" s="2">
        <v>45291</v>
      </c>
      <c r="D108">
        <v>-282265000</v>
      </c>
    </row>
    <row r="109" spans="1:4" hidden="1" x14ac:dyDescent="0.3">
      <c r="A109" s="1">
        <v>107</v>
      </c>
      <c r="B109" t="s">
        <v>150</v>
      </c>
      <c r="C109" s="2">
        <v>45291</v>
      </c>
      <c r="D109">
        <v>457485000</v>
      </c>
    </row>
    <row r="110" spans="1:4" hidden="1" x14ac:dyDescent="0.3">
      <c r="A110" s="1">
        <v>108</v>
      </c>
      <c r="B110" t="s">
        <v>151</v>
      </c>
      <c r="C110" s="2">
        <v>45291</v>
      </c>
      <c r="D110">
        <v>936292000</v>
      </c>
    </row>
    <row r="111" spans="1:4" hidden="1" x14ac:dyDescent="0.3">
      <c r="A111" s="1">
        <v>109</v>
      </c>
      <c r="B111" t="s">
        <v>152</v>
      </c>
      <c r="C111" s="2">
        <v>45291</v>
      </c>
      <c r="D111">
        <v>-478807000</v>
      </c>
    </row>
    <row r="112" spans="1:4" hidden="1" x14ac:dyDescent="0.3">
      <c r="A112" s="1">
        <v>110</v>
      </c>
      <c r="B112" t="s">
        <v>153</v>
      </c>
      <c r="C112" s="2">
        <v>45291</v>
      </c>
      <c r="D112">
        <v>-15000</v>
      </c>
    </row>
    <row r="113" spans="1:4" hidden="1" x14ac:dyDescent="0.3">
      <c r="A113" s="1">
        <v>111</v>
      </c>
      <c r="B113" t="s">
        <v>154</v>
      </c>
      <c r="C113" s="2">
        <v>45291</v>
      </c>
      <c r="D113">
        <v>-15000</v>
      </c>
    </row>
    <row r="114" spans="1:4" hidden="1" x14ac:dyDescent="0.3">
      <c r="A114" s="1">
        <v>112</v>
      </c>
      <c r="B114" t="s">
        <v>155</v>
      </c>
      <c r="C114" s="2">
        <v>45291</v>
      </c>
      <c r="D114">
        <v>11614000</v>
      </c>
    </row>
    <row r="115" spans="1:4" hidden="1" x14ac:dyDescent="0.3">
      <c r="A115" s="1">
        <v>113</v>
      </c>
      <c r="B115" t="s">
        <v>156</v>
      </c>
      <c r="C115" s="2">
        <v>45291</v>
      </c>
      <c r="D115">
        <v>-467195000</v>
      </c>
    </row>
    <row r="116" spans="1:4" hidden="1" x14ac:dyDescent="0.3">
      <c r="A116" s="1">
        <v>114</v>
      </c>
      <c r="B116" t="s">
        <v>157</v>
      </c>
      <c r="C116" s="2">
        <v>45291</v>
      </c>
      <c r="D116">
        <v>0</v>
      </c>
    </row>
    <row r="117" spans="1:4" hidden="1" x14ac:dyDescent="0.3">
      <c r="A117" s="1">
        <v>115</v>
      </c>
      <c r="B117" t="s">
        <v>158</v>
      </c>
      <c r="C117" s="2">
        <v>45291</v>
      </c>
      <c r="D117">
        <v>17000</v>
      </c>
    </row>
    <row r="118" spans="1:4" hidden="1" x14ac:dyDescent="0.3">
      <c r="A118" s="1">
        <v>116</v>
      </c>
      <c r="B118" t="s">
        <v>159</v>
      </c>
      <c r="C118" s="2">
        <v>45291</v>
      </c>
      <c r="D118">
        <v>17000</v>
      </c>
    </row>
    <row r="119" spans="1:4" hidden="1" x14ac:dyDescent="0.3">
      <c r="A119" s="1">
        <v>117</v>
      </c>
      <c r="B119" t="s">
        <v>160</v>
      </c>
      <c r="C119" s="2">
        <v>45291</v>
      </c>
      <c r="D119">
        <v>132617000</v>
      </c>
    </row>
    <row r="120" spans="1:4" hidden="1" x14ac:dyDescent="0.3">
      <c r="A120" s="1">
        <v>118</v>
      </c>
      <c r="B120" t="s">
        <v>161</v>
      </c>
      <c r="C120" s="2">
        <v>45291</v>
      </c>
    </row>
    <row r="121" spans="1:4" hidden="1" x14ac:dyDescent="0.3">
      <c r="A121" s="1">
        <v>119</v>
      </c>
      <c r="B121" t="s">
        <v>162</v>
      </c>
      <c r="C121" s="2">
        <v>45291</v>
      </c>
    </row>
    <row r="122" spans="1:4" hidden="1" x14ac:dyDescent="0.3">
      <c r="A122" s="1">
        <v>120</v>
      </c>
      <c r="B122" t="s">
        <v>163</v>
      </c>
      <c r="C122" s="2">
        <v>45291</v>
      </c>
      <c r="D122">
        <v>297124000</v>
      </c>
    </row>
    <row r="123" spans="1:4" hidden="1" x14ac:dyDescent="0.3">
      <c r="A123" s="1">
        <v>121</v>
      </c>
      <c r="B123" t="s">
        <v>164</v>
      </c>
      <c r="C123" s="2">
        <v>45291</v>
      </c>
      <c r="D123">
        <v>222781000</v>
      </c>
    </row>
    <row r="124" spans="1:4" hidden="1" x14ac:dyDescent="0.3">
      <c r="A124" s="1">
        <v>122</v>
      </c>
      <c r="B124" t="s">
        <v>165</v>
      </c>
      <c r="C124" s="2">
        <v>45291</v>
      </c>
      <c r="D124">
        <v>9499000</v>
      </c>
    </row>
    <row r="125" spans="1:4" hidden="1" x14ac:dyDescent="0.3">
      <c r="A125" s="1">
        <v>123</v>
      </c>
      <c r="B125" t="s">
        <v>166</v>
      </c>
      <c r="C125" s="2">
        <v>45291</v>
      </c>
      <c r="D125">
        <v>935337000</v>
      </c>
    </row>
    <row r="126" spans="1:4" hidden="1" x14ac:dyDescent="0.3">
      <c r="A126" s="1">
        <v>124</v>
      </c>
      <c r="B126" t="s">
        <v>167</v>
      </c>
      <c r="C126" s="2">
        <v>45291</v>
      </c>
      <c r="D126">
        <v>0</v>
      </c>
    </row>
    <row r="127" spans="1:4" hidden="1" x14ac:dyDescent="0.3">
      <c r="A127" s="1">
        <v>125</v>
      </c>
      <c r="B127" t="s">
        <v>168</v>
      </c>
      <c r="C127" s="2">
        <v>45291</v>
      </c>
      <c r="D127">
        <v>208366000</v>
      </c>
    </row>
    <row r="128" spans="1:4" hidden="1" x14ac:dyDescent="0.3">
      <c r="A128" s="1">
        <v>126</v>
      </c>
      <c r="B128" t="s">
        <v>169</v>
      </c>
      <c r="C128" s="2">
        <v>45291</v>
      </c>
      <c r="D128">
        <v>11824000</v>
      </c>
    </row>
    <row r="129" spans="1:4" hidden="1" x14ac:dyDescent="0.3">
      <c r="A129" s="1">
        <v>127</v>
      </c>
      <c r="B129" t="s">
        <v>170</v>
      </c>
      <c r="C129" s="2">
        <v>45291</v>
      </c>
      <c r="D129">
        <v>196542000</v>
      </c>
    </row>
    <row r="130" spans="1:4" hidden="1" x14ac:dyDescent="0.3">
      <c r="A130" s="1">
        <v>128</v>
      </c>
      <c r="B130" t="s">
        <v>171</v>
      </c>
      <c r="C130" s="2">
        <v>45291</v>
      </c>
      <c r="D130">
        <v>4916000</v>
      </c>
    </row>
    <row r="131" spans="1:4" hidden="1" x14ac:dyDescent="0.3">
      <c r="A131" s="1">
        <v>129</v>
      </c>
      <c r="B131" t="s">
        <v>172</v>
      </c>
      <c r="C131" s="2">
        <v>45291</v>
      </c>
      <c r="D131">
        <v>74343000</v>
      </c>
    </row>
    <row r="132" spans="1:4" hidden="1" x14ac:dyDescent="0.3">
      <c r="A132" s="1">
        <v>130</v>
      </c>
      <c r="B132" t="s">
        <v>173</v>
      </c>
      <c r="C132" s="2">
        <v>45291</v>
      </c>
      <c r="D132">
        <v>92000</v>
      </c>
    </row>
    <row r="133" spans="1:4" hidden="1" x14ac:dyDescent="0.3">
      <c r="A133" s="1">
        <v>131</v>
      </c>
      <c r="B133" t="s">
        <v>174</v>
      </c>
      <c r="C133" s="2">
        <v>45291</v>
      </c>
      <c r="D133">
        <v>6314000</v>
      </c>
    </row>
    <row r="134" spans="1:4" hidden="1" x14ac:dyDescent="0.3">
      <c r="A134" s="1">
        <v>132</v>
      </c>
      <c r="B134" t="s">
        <v>175</v>
      </c>
      <c r="C134" s="2">
        <v>45291</v>
      </c>
      <c r="D134">
        <v>6314000</v>
      </c>
    </row>
    <row r="135" spans="1:4" hidden="1" x14ac:dyDescent="0.3">
      <c r="A135" s="1">
        <v>133</v>
      </c>
      <c r="B135" t="s">
        <v>176</v>
      </c>
      <c r="C135" s="2">
        <v>45291</v>
      </c>
      <c r="D135">
        <v>2246000</v>
      </c>
    </row>
    <row r="136" spans="1:4" hidden="1" x14ac:dyDescent="0.3">
      <c r="A136" s="1">
        <v>134</v>
      </c>
      <c r="B136" t="s">
        <v>177</v>
      </c>
      <c r="C136" s="2">
        <v>45291</v>
      </c>
      <c r="D136">
        <v>638000</v>
      </c>
    </row>
    <row r="137" spans="1:4" hidden="1" x14ac:dyDescent="0.3">
      <c r="A137" s="1">
        <v>135</v>
      </c>
      <c r="B137" t="s">
        <v>178</v>
      </c>
      <c r="C137" s="2">
        <v>45291</v>
      </c>
      <c r="D137">
        <v>1608000</v>
      </c>
    </row>
    <row r="138" spans="1:4" hidden="1" x14ac:dyDescent="0.3">
      <c r="A138" s="1">
        <v>136</v>
      </c>
      <c r="B138" t="s">
        <v>179</v>
      </c>
      <c r="C138" s="2">
        <v>45291</v>
      </c>
      <c r="D138">
        <v>1608000</v>
      </c>
    </row>
    <row r="139" spans="1:4" hidden="1" x14ac:dyDescent="0.3">
      <c r="A139" s="1">
        <v>137</v>
      </c>
      <c r="B139" t="s">
        <v>180</v>
      </c>
      <c r="C139" s="2">
        <v>45291</v>
      </c>
      <c r="D139">
        <v>0</v>
      </c>
    </row>
    <row r="140" spans="1:4" hidden="1" x14ac:dyDescent="0.3">
      <c r="A140" s="1">
        <v>138</v>
      </c>
      <c r="B140" t="s">
        <v>181</v>
      </c>
      <c r="C140" s="2">
        <v>45291</v>
      </c>
      <c r="D140">
        <v>1812000</v>
      </c>
    </row>
    <row r="141" spans="1:4" hidden="1" x14ac:dyDescent="0.3">
      <c r="A141" s="1">
        <v>139</v>
      </c>
      <c r="B141" t="s">
        <v>182</v>
      </c>
      <c r="C141" s="2">
        <v>45291</v>
      </c>
      <c r="D141">
        <v>63879000</v>
      </c>
    </row>
    <row r="142" spans="1:4" hidden="1" x14ac:dyDescent="0.3">
      <c r="A142" s="1">
        <v>140</v>
      </c>
      <c r="B142" t="s">
        <v>183</v>
      </c>
      <c r="C142" s="2">
        <v>45291</v>
      </c>
      <c r="D142">
        <v>38396000</v>
      </c>
    </row>
    <row r="143" spans="1:4" hidden="1" x14ac:dyDescent="0.3">
      <c r="A143" s="1">
        <v>141</v>
      </c>
      <c r="B143" t="s">
        <v>184</v>
      </c>
      <c r="C143" s="2">
        <v>45291</v>
      </c>
      <c r="D143">
        <v>25483000</v>
      </c>
    </row>
    <row r="144" spans="1:4" hidden="1" x14ac:dyDescent="0.3">
      <c r="A144" s="1">
        <v>142</v>
      </c>
      <c r="B144" t="s">
        <v>185</v>
      </c>
      <c r="C144" s="2">
        <v>45291</v>
      </c>
      <c r="D144">
        <v>7024000</v>
      </c>
    </row>
    <row r="145" spans="1:4" hidden="1" x14ac:dyDescent="0.3">
      <c r="A145" s="1">
        <v>143</v>
      </c>
      <c r="B145" t="s">
        <v>186</v>
      </c>
      <c r="C145" s="2">
        <v>45291</v>
      </c>
      <c r="D145">
        <v>4558000</v>
      </c>
    </row>
    <row r="146" spans="1:4" hidden="1" x14ac:dyDescent="0.3">
      <c r="A146" s="1">
        <v>144</v>
      </c>
      <c r="B146" t="s">
        <v>187</v>
      </c>
      <c r="C146" s="2">
        <v>45291</v>
      </c>
      <c r="D146">
        <v>13901000</v>
      </c>
    </row>
    <row r="147" spans="1:4" hidden="1" x14ac:dyDescent="0.3">
      <c r="A147" s="1">
        <v>145</v>
      </c>
      <c r="B147" t="s">
        <v>188</v>
      </c>
      <c r="C147" s="2">
        <v>45291</v>
      </c>
      <c r="D147">
        <v>754609000</v>
      </c>
    </row>
    <row r="148" spans="1:4" hidden="1" x14ac:dyDescent="0.3">
      <c r="A148" s="1">
        <v>146</v>
      </c>
      <c r="B148" t="s">
        <v>189</v>
      </c>
      <c r="C148" s="2">
        <v>45291</v>
      </c>
      <c r="D148">
        <v>626536000</v>
      </c>
    </row>
    <row r="149" spans="1:4" hidden="1" x14ac:dyDescent="0.3">
      <c r="A149" s="1">
        <v>147</v>
      </c>
      <c r="B149" t="s">
        <v>190</v>
      </c>
      <c r="C149" s="2">
        <v>45291</v>
      </c>
      <c r="D149">
        <v>9129000</v>
      </c>
    </row>
    <row r="150" spans="1:4" hidden="1" x14ac:dyDescent="0.3">
      <c r="A150" s="1">
        <v>148</v>
      </c>
      <c r="B150" t="s">
        <v>191</v>
      </c>
      <c r="C150" s="2">
        <v>45291</v>
      </c>
      <c r="D150">
        <v>0</v>
      </c>
    </row>
    <row r="151" spans="1:4" hidden="1" x14ac:dyDescent="0.3">
      <c r="A151" s="1">
        <v>149</v>
      </c>
      <c r="B151" t="s">
        <v>192</v>
      </c>
      <c r="C151" s="2">
        <v>45291</v>
      </c>
      <c r="D151">
        <v>2302000</v>
      </c>
    </row>
    <row r="152" spans="1:4" hidden="1" x14ac:dyDescent="0.3">
      <c r="A152" s="1">
        <v>150</v>
      </c>
      <c r="B152" t="s">
        <v>193</v>
      </c>
      <c r="C152" s="2">
        <v>45291</v>
      </c>
      <c r="D152">
        <v>0</v>
      </c>
    </row>
    <row r="153" spans="1:4" hidden="1" x14ac:dyDescent="0.3">
      <c r="A153" s="1">
        <v>151</v>
      </c>
      <c r="B153" t="s">
        <v>194</v>
      </c>
      <c r="C153" s="2">
        <v>45291</v>
      </c>
      <c r="D153">
        <v>207099000</v>
      </c>
    </row>
    <row r="154" spans="1:4" hidden="1" x14ac:dyDescent="0.3">
      <c r="A154" s="1">
        <v>152</v>
      </c>
      <c r="B154" t="s">
        <v>195</v>
      </c>
      <c r="C154" s="2">
        <v>45291</v>
      </c>
      <c r="D154">
        <v>207099000</v>
      </c>
    </row>
    <row r="155" spans="1:4" hidden="1" x14ac:dyDescent="0.3">
      <c r="A155" s="1">
        <v>153</v>
      </c>
      <c r="B155" t="s">
        <v>196</v>
      </c>
      <c r="C155" s="2">
        <v>45291</v>
      </c>
    </row>
    <row r="156" spans="1:4" hidden="1" x14ac:dyDescent="0.3">
      <c r="A156" s="1">
        <v>154</v>
      </c>
      <c r="B156" t="s">
        <v>197</v>
      </c>
      <c r="C156" s="2">
        <v>45291</v>
      </c>
      <c r="D156">
        <v>207099000</v>
      </c>
    </row>
    <row r="157" spans="1:4" hidden="1" x14ac:dyDescent="0.3">
      <c r="A157" s="1">
        <v>155</v>
      </c>
      <c r="B157" t="s">
        <v>198</v>
      </c>
      <c r="C157" s="2">
        <v>45291</v>
      </c>
      <c r="D157">
        <v>61094000</v>
      </c>
    </row>
    <row r="158" spans="1:4" hidden="1" x14ac:dyDescent="0.3">
      <c r="A158" s="1">
        <v>156</v>
      </c>
      <c r="B158" t="s">
        <v>199</v>
      </c>
      <c r="C158" s="2">
        <v>45291</v>
      </c>
      <c r="D158">
        <v>6486000</v>
      </c>
    </row>
    <row r="159" spans="1:4" hidden="1" x14ac:dyDescent="0.3">
      <c r="A159" s="1">
        <v>157</v>
      </c>
      <c r="B159" t="s">
        <v>200</v>
      </c>
      <c r="C159" s="2">
        <v>45291</v>
      </c>
      <c r="D159">
        <v>54608000</v>
      </c>
    </row>
    <row r="160" spans="1:4" hidden="1" x14ac:dyDescent="0.3">
      <c r="A160" s="1">
        <v>158</v>
      </c>
      <c r="B160" t="s">
        <v>201</v>
      </c>
      <c r="C160" s="2">
        <v>45291</v>
      </c>
      <c r="D160">
        <v>346912000</v>
      </c>
    </row>
    <row r="161" spans="1:4" hidden="1" x14ac:dyDescent="0.3">
      <c r="A161" s="1">
        <v>159</v>
      </c>
      <c r="B161" t="s">
        <v>202</v>
      </c>
      <c r="C161" s="2">
        <v>45291</v>
      </c>
      <c r="D161">
        <v>-108814000</v>
      </c>
    </row>
    <row r="162" spans="1:4" hidden="1" x14ac:dyDescent="0.3">
      <c r="A162" s="1">
        <v>160</v>
      </c>
      <c r="B162" t="s">
        <v>203</v>
      </c>
      <c r="C162" s="2">
        <v>45291</v>
      </c>
      <c r="D162">
        <v>455726000</v>
      </c>
    </row>
    <row r="163" spans="1:4" hidden="1" x14ac:dyDescent="0.3">
      <c r="A163" s="1">
        <v>161</v>
      </c>
      <c r="B163" t="s">
        <v>204</v>
      </c>
      <c r="C163" s="2">
        <v>45291</v>
      </c>
      <c r="D163">
        <v>12145000</v>
      </c>
    </row>
    <row r="164" spans="1:4" hidden="1" x14ac:dyDescent="0.3">
      <c r="A164" s="1">
        <v>162</v>
      </c>
      <c r="B164" t="s">
        <v>205</v>
      </c>
      <c r="C164" s="2">
        <v>45291</v>
      </c>
      <c r="D164">
        <v>175060000</v>
      </c>
    </row>
    <row r="165" spans="1:4" hidden="1" x14ac:dyDescent="0.3">
      <c r="A165" s="1">
        <v>163</v>
      </c>
      <c r="B165" t="s">
        <v>206</v>
      </c>
      <c r="C165" s="2">
        <v>45291</v>
      </c>
      <c r="D165">
        <v>216772000</v>
      </c>
    </row>
    <row r="166" spans="1:4" hidden="1" x14ac:dyDescent="0.3">
      <c r="A166" s="1">
        <v>164</v>
      </c>
      <c r="B166" t="s">
        <v>207</v>
      </c>
      <c r="C166" s="2">
        <v>45291</v>
      </c>
    </row>
    <row r="167" spans="1:4" hidden="1" x14ac:dyDescent="0.3">
      <c r="A167" s="1">
        <v>165</v>
      </c>
      <c r="B167" t="s">
        <v>208</v>
      </c>
      <c r="C167" s="2">
        <v>45291</v>
      </c>
    </row>
    <row r="168" spans="1:4" hidden="1" x14ac:dyDescent="0.3">
      <c r="A168" s="1">
        <v>166</v>
      </c>
      <c r="B168" t="s">
        <v>209</v>
      </c>
      <c r="C168" s="2">
        <v>45291</v>
      </c>
    </row>
    <row r="169" spans="1:4" hidden="1" x14ac:dyDescent="0.3">
      <c r="A169" s="1">
        <v>167</v>
      </c>
      <c r="B169" t="s">
        <v>210</v>
      </c>
      <c r="C169" s="2">
        <v>45291</v>
      </c>
    </row>
    <row r="170" spans="1:4" hidden="1" x14ac:dyDescent="0.3">
      <c r="A170" s="1">
        <v>168</v>
      </c>
      <c r="B170" t="s">
        <v>211</v>
      </c>
      <c r="C170" s="2">
        <v>45291</v>
      </c>
      <c r="D170">
        <v>128073000</v>
      </c>
    </row>
    <row r="171" spans="1:4" hidden="1" x14ac:dyDescent="0.3">
      <c r="A171" s="1">
        <v>169</v>
      </c>
      <c r="B171" t="s">
        <v>212</v>
      </c>
      <c r="C171" s="2">
        <v>45291</v>
      </c>
      <c r="D171">
        <v>6005000</v>
      </c>
    </row>
    <row r="172" spans="1:4" hidden="1" x14ac:dyDescent="0.3">
      <c r="A172" s="1">
        <v>170</v>
      </c>
      <c r="B172" t="s">
        <v>213</v>
      </c>
      <c r="C172" s="2">
        <v>45291</v>
      </c>
      <c r="D172">
        <v>633000</v>
      </c>
    </row>
    <row r="173" spans="1:4" hidden="1" x14ac:dyDescent="0.3">
      <c r="A173" s="1">
        <v>171</v>
      </c>
      <c r="B173" t="s">
        <v>214</v>
      </c>
      <c r="C173" s="2">
        <v>45291</v>
      </c>
      <c r="D173">
        <v>172000</v>
      </c>
    </row>
    <row r="174" spans="1:4" hidden="1" x14ac:dyDescent="0.3">
      <c r="A174" s="1">
        <v>172</v>
      </c>
      <c r="B174" t="s">
        <v>215</v>
      </c>
      <c r="C174" s="2">
        <v>45291</v>
      </c>
      <c r="D174">
        <v>4395000</v>
      </c>
    </row>
    <row r="175" spans="1:4" hidden="1" x14ac:dyDescent="0.3">
      <c r="A175" s="1">
        <v>173</v>
      </c>
      <c r="B175" t="s">
        <v>216</v>
      </c>
      <c r="C175" s="2">
        <v>45291</v>
      </c>
    </row>
    <row r="176" spans="1:4" hidden="1" x14ac:dyDescent="0.3">
      <c r="A176" s="1">
        <v>174</v>
      </c>
      <c r="B176" t="s">
        <v>217</v>
      </c>
      <c r="C176" s="2">
        <v>45291</v>
      </c>
      <c r="D176">
        <v>10191000</v>
      </c>
    </row>
    <row r="177" spans="1:4" hidden="1" x14ac:dyDescent="0.3">
      <c r="A177" s="1">
        <v>175</v>
      </c>
      <c r="B177" t="s">
        <v>218</v>
      </c>
      <c r="C177" s="2">
        <v>45291</v>
      </c>
      <c r="D177">
        <v>10191000</v>
      </c>
    </row>
    <row r="178" spans="1:4" hidden="1" x14ac:dyDescent="0.3">
      <c r="A178" s="1">
        <v>176</v>
      </c>
      <c r="B178" t="s">
        <v>219</v>
      </c>
      <c r="C178" s="2">
        <v>45291</v>
      </c>
    </row>
    <row r="179" spans="1:4" hidden="1" x14ac:dyDescent="0.3">
      <c r="A179" s="1">
        <v>177</v>
      </c>
      <c r="B179" t="s">
        <v>220</v>
      </c>
      <c r="C179" s="2">
        <v>45291</v>
      </c>
      <c r="D179">
        <v>58454000</v>
      </c>
    </row>
    <row r="180" spans="1:4" hidden="1" x14ac:dyDescent="0.3">
      <c r="A180" s="1">
        <v>178</v>
      </c>
      <c r="B180" t="s">
        <v>221</v>
      </c>
      <c r="C180" s="2">
        <v>45291</v>
      </c>
    </row>
    <row r="181" spans="1:4" hidden="1" x14ac:dyDescent="0.3">
      <c r="A181" s="1">
        <v>179</v>
      </c>
      <c r="B181" t="s">
        <v>222</v>
      </c>
      <c r="C181" s="2">
        <v>45291</v>
      </c>
      <c r="D181">
        <v>18696000</v>
      </c>
    </row>
    <row r="182" spans="1:4" hidden="1" x14ac:dyDescent="0.3">
      <c r="A182" s="1">
        <v>180</v>
      </c>
      <c r="B182" t="s">
        <v>223</v>
      </c>
      <c r="C182" s="2">
        <v>45291</v>
      </c>
      <c r="D182">
        <v>5345000</v>
      </c>
    </row>
    <row r="183" spans="1:4" hidden="1" x14ac:dyDescent="0.3">
      <c r="A183" s="1">
        <v>181</v>
      </c>
      <c r="B183" t="s">
        <v>224</v>
      </c>
      <c r="C183" s="2">
        <v>45291</v>
      </c>
      <c r="D183">
        <v>0</v>
      </c>
    </row>
    <row r="184" spans="1:4" hidden="1" x14ac:dyDescent="0.3">
      <c r="A184" s="1">
        <v>182</v>
      </c>
      <c r="B184" t="s">
        <v>225</v>
      </c>
      <c r="C184" s="2">
        <v>45291</v>
      </c>
      <c r="D184">
        <v>27623000</v>
      </c>
    </row>
    <row r="185" spans="1:4" hidden="1" x14ac:dyDescent="0.3">
      <c r="A185" s="1">
        <v>183</v>
      </c>
      <c r="B185" t="s">
        <v>226</v>
      </c>
      <c r="C185" s="2">
        <v>45291</v>
      </c>
    </row>
    <row r="186" spans="1:4" hidden="1" x14ac:dyDescent="0.3">
      <c r="A186" s="1">
        <v>184</v>
      </c>
      <c r="B186" t="s">
        <v>227</v>
      </c>
      <c r="C186" s="2">
        <v>45291</v>
      </c>
    </row>
    <row r="187" spans="1:4" hidden="1" x14ac:dyDescent="0.3">
      <c r="A187" s="1">
        <v>185</v>
      </c>
      <c r="B187" t="s">
        <v>228</v>
      </c>
      <c r="C187" s="2">
        <v>45291</v>
      </c>
      <c r="D187">
        <v>48223000</v>
      </c>
    </row>
    <row r="188" spans="1:4" hidden="1" x14ac:dyDescent="0.3">
      <c r="A188" s="1">
        <v>186</v>
      </c>
      <c r="B188" t="s">
        <v>229</v>
      </c>
      <c r="C188" s="2">
        <v>45291</v>
      </c>
      <c r="D188">
        <v>9875000</v>
      </c>
    </row>
    <row r="189" spans="1:4" hidden="1" x14ac:dyDescent="0.3">
      <c r="A189" s="1">
        <v>187</v>
      </c>
      <c r="B189" t="s">
        <v>230</v>
      </c>
      <c r="C189" s="2">
        <v>45291</v>
      </c>
      <c r="D189">
        <v>38348000</v>
      </c>
    </row>
    <row r="190" spans="1:4" x14ac:dyDescent="0.3">
      <c r="A190" s="1">
        <v>188</v>
      </c>
      <c r="B190" t="s">
        <v>137</v>
      </c>
      <c r="C190" s="2">
        <v>44926</v>
      </c>
    </row>
    <row r="191" spans="1:4" x14ac:dyDescent="0.3">
      <c r="A191" s="1">
        <v>189</v>
      </c>
      <c r="B191" t="s">
        <v>138</v>
      </c>
      <c r="C191" s="2">
        <v>44926</v>
      </c>
      <c r="D191">
        <v>29477766</v>
      </c>
    </row>
    <row r="192" spans="1:4" hidden="1" x14ac:dyDescent="0.3">
      <c r="A192" s="1">
        <v>190</v>
      </c>
      <c r="B192" t="s">
        <v>139</v>
      </c>
      <c r="C192" s="2">
        <v>44926</v>
      </c>
      <c r="D192">
        <v>29477766</v>
      </c>
    </row>
    <row r="193" spans="1:4" hidden="1" x14ac:dyDescent="0.3">
      <c r="A193" s="1">
        <v>191</v>
      </c>
      <c r="B193" t="s">
        <v>140</v>
      </c>
      <c r="C193" s="2">
        <v>44926</v>
      </c>
      <c r="D193">
        <v>127384000</v>
      </c>
    </row>
    <row r="194" spans="1:4" hidden="1" x14ac:dyDescent="0.3">
      <c r="A194" s="1">
        <v>192</v>
      </c>
      <c r="B194" t="s">
        <v>141</v>
      </c>
      <c r="C194" s="2">
        <v>44926</v>
      </c>
      <c r="D194">
        <v>179653000</v>
      </c>
    </row>
    <row r="195" spans="1:4" hidden="1" x14ac:dyDescent="0.3">
      <c r="A195" s="1">
        <v>193</v>
      </c>
      <c r="B195" t="s">
        <v>142</v>
      </c>
      <c r="C195" s="2">
        <v>44926</v>
      </c>
      <c r="D195">
        <v>-857376000</v>
      </c>
    </row>
    <row r="196" spans="1:4" hidden="1" x14ac:dyDescent="0.3">
      <c r="A196" s="1">
        <v>194</v>
      </c>
      <c r="B196" t="s">
        <v>143</v>
      </c>
      <c r="C196" s="2">
        <v>44926</v>
      </c>
      <c r="D196">
        <v>-632823000</v>
      </c>
    </row>
    <row r="197" spans="1:4" hidden="1" x14ac:dyDescent="0.3">
      <c r="A197" s="1">
        <v>195</v>
      </c>
      <c r="B197" t="s">
        <v>144</v>
      </c>
      <c r="C197" s="2">
        <v>44926</v>
      </c>
      <c r="D197">
        <v>59078000</v>
      </c>
    </row>
    <row r="198" spans="1:4" hidden="1" x14ac:dyDescent="0.3">
      <c r="A198" s="1">
        <v>196</v>
      </c>
      <c r="B198" t="s">
        <v>145</v>
      </c>
      <c r="C198" s="2">
        <v>44926</v>
      </c>
      <c r="D198">
        <v>-857376000</v>
      </c>
    </row>
    <row r="199" spans="1:4" hidden="1" x14ac:dyDescent="0.3">
      <c r="A199" s="1">
        <v>197</v>
      </c>
      <c r="B199" t="s">
        <v>146</v>
      </c>
      <c r="C199" s="2">
        <v>44926</v>
      </c>
      <c r="D199">
        <v>11875000</v>
      </c>
    </row>
    <row r="200" spans="1:4" hidden="1" x14ac:dyDescent="0.3">
      <c r="A200" s="1">
        <v>198</v>
      </c>
      <c r="B200" t="s">
        <v>147</v>
      </c>
      <c r="C200" s="2">
        <v>44926</v>
      </c>
      <c r="D200">
        <v>-800601000</v>
      </c>
    </row>
    <row r="201" spans="1:4" hidden="1" x14ac:dyDescent="0.3">
      <c r="A201" s="1">
        <v>199</v>
      </c>
      <c r="B201" t="s">
        <v>148</v>
      </c>
      <c r="C201" s="2">
        <v>44926</v>
      </c>
      <c r="D201">
        <v>138142000</v>
      </c>
    </row>
    <row r="202" spans="1:4" hidden="1" x14ac:dyDescent="0.3">
      <c r="A202" s="1">
        <v>200</v>
      </c>
      <c r="B202" t="s">
        <v>149</v>
      </c>
      <c r="C202" s="2">
        <v>44926</v>
      </c>
      <c r="D202">
        <v>-712289000</v>
      </c>
    </row>
    <row r="203" spans="1:4" hidden="1" x14ac:dyDescent="0.3">
      <c r="A203" s="1">
        <v>201</v>
      </c>
      <c r="B203" t="s">
        <v>150</v>
      </c>
      <c r="C203" s="2">
        <v>44926</v>
      </c>
      <c r="D203">
        <v>377819000</v>
      </c>
    </row>
    <row r="204" spans="1:4" hidden="1" x14ac:dyDescent="0.3">
      <c r="A204" s="1">
        <v>202</v>
      </c>
      <c r="B204" t="s">
        <v>151</v>
      </c>
      <c r="C204" s="2">
        <v>44926</v>
      </c>
      <c r="D204">
        <v>1178420000</v>
      </c>
    </row>
    <row r="205" spans="1:4" hidden="1" x14ac:dyDescent="0.3">
      <c r="A205" s="1">
        <v>203</v>
      </c>
      <c r="B205" t="s">
        <v>152</v>
      </c>
      <c r="C205" s="2">
        <v>44926</v>
      </c>
      <c r="D205">
        <v>-800601000</v>
      </c>
    </row>
    <row r="206" spans="1:4" hidden="1" x14ac:dyDescent="0.3">
      <c r="A206" s="1">
        <v>204</v>
      </c>
      <c r="B206" t="s">
        <v>153</v>
      </c>
      <c r="C206" s="2">
        <v>44926</v>
      </c>
      <c r="D206">
        <v>195000</v>
      </c>
    </row>
    <row r="207" spans="1:4" hidden="1" x14ac:dyDescent="0.3">
      <c r="A207" s="1">
        <v>205</v>
      </c>
      <c r="B207" t="s">
        <v>154</v>
      </c>
      <c r="C207" s="2">
        <v>44926</v>
      </c>
      <c r="D207">
        <v>195000</v>
      </c>
    </row>
    <row r="208" spans="1:4" hidden="1" x14ac:dyDescent="0.3">
      <c r="A208" s="1">
        <v>206</v>
      </c>
      <c r="B208" t="s">
        <v>155</v>
      </c>
      <c r="C208" s="2">
        <v>44926</v>
      </c>
      <c r="D208">
        <v>0</v>
      </c>
    </row>
    <row r="209" spans="1:4" hidden="1" x14ac:dyDescent="0.3">
      <c r="A209" s="1">
        <v>207</v>
      </c>
      <c r="B209" t="s">
        <v>156</v>
      </c>
      <c r="C209" s="2">
        <v>44926</v>
      </c>
      <c r="D209">
        <v>-800813000</v>
      </c>
    </row>
    <row r="210" spans="1:4" hidden="1" x14ac:dyDescent="0.3">
      <c r="A210" s="1">
        <v>208</v>
      </c>
      <c r="B210" t="s">
        <v>157</v>
      </c>
      <c r="C210" s="2">
        <v>44926</v>
      </c>
      <c r="D210">
        <v>0</v>
      </c>
    </row>
    <row r="211" spans="1:4" hidden="1" x14ac:dyDescent="0.3">
      <c r="A211" s="1">
        <v>209</v>
      </c>
      <c r="B211" t="s">
        <v>158</v>
      </c>
      <c r="C211" s="2">
        <v>44926</v>
      </c>
      <c r="D211">
        <v>17000</v>
      </c>
    </row>
    <row r="212" spans="1:4" hidden="1" x14ac:dyDescent="0.3">
      <c r="A212" s="1">
        <v>210</v>
      </c>
      <c r="B212" t="s">
        <v>159</v>
      </c>
      <c r="C212" s="2">
        <v>44926</v>
      </c>
      <c r="D212">
        <v>17000</v>
      </c>
    </row>
    <row r="213" spans="1:4" hidden="1" x14ac:dyDescent="0.3">
      <c r="A213" s="1">
        <v>211</v>
      </c>
      <c r="B213" t="s">
        <v>160</v>
      </c>
      <c r="C213" s="2">
        <v>44926</v>
      </c>
      <c r="D213">
        <v>138142000</v>
      </c>
    </row>
    <row r="214" spans="1:4" hidden="1" x14ac:dyDescent="0.3">
      <c r="A214" s="1">
        <v>212</v>
      </c>
      <c r="B214" t="s">
        <v>161</v>
      </c>
      <c r="C214" s="2">
        <v>44926</v>
      </c>
    </row>
    <row r="215" spans="1:4" hidden="1" x14ac:dyDescent="0.3">
      <c r="A215" s="1">
        <v>213</v>
      </c>
      <c r="B215" t="s">
        <v>162</v>
      </c>
      <c r="C215" s="2">
        <v>44926</v>
      </c>
    </row>
    <row r="216" spans="1:4" hidden="1" x14ac:dyDescent="0.3">
      <c r="A216" s="1">
        <v>214</v>
      </c>
      <c r="B216" t="s">
        <v>163</v>
      </c>
      <c r="C216" s="2">
        <v>44926</v>
      </c>
      <c r="D216">
        <v>267037000</v>
      </c>
    </row>
    <row r="217" spans="1:4" hidden="1" x14ac:dyDescent="0.3">
      <c r="A217" s="1">
        <v>215</v>
      </c>
      <c r="B217" t="s">
        <v>164</v>
      </c>
      <c r="C217" s="2">
        <v>44926</v>
      </c>
      <c r="D217">
        <v>114132000</v>
      </c>
    </row>
    <row r="218" spans="1:4" hidden="1" x14ac:dyDescent="0.3">
      <c r="A218" s="1">
        <v>216</v>
      </c>
      <c r="B218" t="s">
        <v>165</v>
      </c>
      <c r="C218" s="2">
        <v>44926</v>
      </c>
      <c r="D218">
        <v>9615000</v>
      </c>
    </row>
    <row r="219" spans="1:4" hidden="1" x14ac:dyDescent="0.3">
      <c r="A219" s="1">
        <v>217</v>
      </c>
      <c r="B219" t="s">
        <v>166</v>
      </c>
      <c r="C219" s="2">
        <v>44926</v>
      </c>
      <c r="D219">
        <v>1151975000</v>
      </c>
    </row>
    <row r="220" spans="1:4" hidden="1" x14ac:dyDescent="0.3">
      <c r="A220" s="1">
        <v>218</v>
      </c>
      <c r="B220" t="s">
        <v>167</v>
      </c>
      <c r="C220" s="2">
        <v>44926</v>
      </c>
    </row>
    <row r="221" spans="1:4" hidden="1" x14ac:dyDescent="0.3">
      <c r="A221" s="1">
        <v>219</v>
      </c>
      <c r="B221" t="s">
        <v>168</v>
      </c>
      <c r="C221" s="2">
        <v>44926</v>
      </c>
      <c r="D221">
        <v>99557000</v>
      </c>
    </row>
    <row r="222" spans="1:4" hidden="1" x14ac:dyDescent="0.3">
      <c r="A222" s="1">
        <v>220</v>
      </c>
      <c r="B222" t="s">
        <v>169</v>
      </c>
      <c r="C222" s="2">
        <v>44926</v>
      </c>
      <c r="D222">
        <v>11245000</v>
      </c>
    </row>
    <row r="223" spans="1:4" hidden="1" x14ac:dyDescent="0.3">
      <c r="A223" s="1">
        <v>221</v>
      </c>
      <c r="B223" t="s">
        <v>170</v>
      </c>
      <c r="C223" s="2">
        <v>44926</v>
      </c>
      <c r="D223">
        <v>88312000</v>
      </c>
    </row>
    <row r="224" spans="1:4" hidden="1" x14ac:dyDescent="0.3">
      <c r="A224" s="1">
        <v>222</v>
      </c>
      <c r="B224" t="s">
        <v>171</v>
      </c>
      <c r="C224" s="2">
        <v>44926</v>
      </c>
      <c r="D224">
        <v>4960000</v>
      </c>
    </row>
    <row r="225" spans="1:4" hidden="1" x14ac:dyDescent="0.3">
      <c r="A225" s="1">
        <v>223</v>
      </c>
      <c r="B225" t="s">
        <v>172</v>
      </c>
      <c r="C225" s="2">
        <v>44926</v>
      </c>
      <c r="D225">
        <v>152905000</v>
      </c>
    </row>
    <row r="226" spans="1:4" hidden="1" x14ac:dyDescent="0.3">
      <c r="A226" s="1">
        <v>224</v>
      </c>
      <c r="B226" t="s">
        <v>173</v>
      </c>
      <c r="C226" s="2">
        <v>44926</v>
      </c>
      <c r="D226">
        <v>5681000</v>
      </c>
    </row>
    <row r="227" spans="1:4" hidden="1" x14ac:dyDescent="0.3">
      <c r="A227" s="1">
        <v>225</v>
      </c>
      <c r="B227" t="s">
        <v>174</v>
      </c>
      <c r="C227" s="2">
        <v>44926</v>
      </c>
      <c r="D227">
        <v>8013000</v>
      </c>
    </row>
    <row r="228" spans="1:4" hidden="1" x14ac:dyDescent="0.3">
      <c r="A228" s="1">
        <v>226</v>
      </c>
      <c r="B228" t="s">
        <v>175</v>
      </c>
      <c r="C228" s="2">
        <v>44926</v>
      </c>
      <c r="D228">
        <v>8013000</v>
      </c>
    </row>
    <row r="229" spans="1:4" hidden="1" x14ac:dyDescent="0.3">
      <c r="A229" s="1">
        <v>227</v>
      </c>
      <c r="B229" t="s">
        <v>176</v>
      </c>
      <c r="C229" s="2">
        <v>44926</v>
      </c>
      <c r="D229">
        <v>80096000</v>
      </c>
    </row>
    <row r="230" spans="1:4" hidden="1" x14ac:dyDescent="0.3">
      <c r="A230" s="1">
        <v>228</v>
      </c>
      <c r="B230" t="s">
        <v>177</v>
      </c>
      <c r="C230" s="2">
        <v>44926</v>
      </c>
      <c r="D230">
        <v>630000</v>
      </c>
    </row>
    <row r="231" spans="1:4" hidden="1" x14ac:dyDescent="0.3">
      <c r="A231" s="1">
        <v>229</v>
      </c>
      <c r="B231" t="s">
        <v>178</v>
      </c>
      <c r="C231" s="2">
        <v>44926</v>
      </c>
      <c r="D231">
        <v>79466000</v>
      </c>
    </row>
    <row r="232" spans="1:4" hidden="1" x14ac:dyDescent="0.3">
      <c r="A232" s="1">
        <v>230</v>
      </c>
      <c r="B232" t="s">
        <v>179</v>
      </c>
      <c r="C232" s="2">
        <v>44926</v>
      </c>
      <c r="D232">
        <v>56716000</v>
      </c>
    </row>
    <row r="233" spans="1:4" hidden="1" x14ac:dyDescent="0.3">
      <c r="A233" s="1">
        <v>231</v>
      </c>
      <c r="B233" t="s">
        <v>180</v>
      </c>
      <c r="C233" s="2">
        <v>44926</v>
      </c>
      <c r="D233">
        <v>22750000</v>
      </c>
    </row>
    <row r="234" spans="1:4" hidden="1" x14ac:dyDescent="0.3">
      <c r="A234" s="1">
        <v>232</v>
      </c>
      <c r="B234" t="s">
        <v>181</v>
      </c>
      <c r="C234" s="2">
        <v>44926</v>
      </c>
      <c r="D234">
        <v>1296000</v>
      </c>
    </row>
    <row r="235" spans="1:4" hidden="1" x14ac:dyDescent="0.3">
      <c r="A235" s="1">
        <v>233</v>
      </c>
      <c r="B235" t="s">
        <v>182</v>
      </c>
      <c r="C235" s="2">
        <v>44926</v>
      </c>
      <c r="D235">
        <v>57819000</v>
      </c>
    </row>
    <row r="236" spans="1:4" hidden="1" x14ac:dyDescent="0.3">
      <c r="A236" s="1">
        <v>234</v>
      </c>
      <c r="B236" t="s">
        <v>183</v>
      </c>
      <c r="C236" s="2">
        <v>44926</v>
      </c>
      <c r="D236">
        <v>30474000</v>
      </c>
    </row>
    <row r="237" spans="1:4" hidden="1" x14ac:dyDescent="0.3">
      <c r="A237" s="1">
        <v>235</v>
      </c>
      <c r="B237" t="s">
        <v>184</v>
      </c>
      <c r="C237" s="2">
        <v>44926</v>
      </c>
      <c r="D237">
        <v>27345000</v>
      </c>
    </row>
    <row r="238" spans="1:4" hidden="1" x14ac:dyDescent="0.3">
      <c r="A238" s="1">
        <v>236</v>
      </c>
      <c r="B238" t="s">
        <v>185</v>
      </c>
      <c r="C238" s="2">
        <v>44926</v>
      </c>
      <c r="D238">
        <v>6376000</v>
      </c>
    </row>
    <row r="239" spans="1:4" hidden="1" x14ac:dyDescent="0.3">
      <c r="A239" s="1">
        <v>237</v>
      </c>
      <c r="B239" t="s">
        <v>186</v>
      </c>
      <c r="C239" s="2">
        <v>44926</v>
      </c>
      <c r="D239">
        <v>3320000</v>
      </c>
    </row>
    <row r="240" spans="1:4" hidden="1" x14ac:dyDescent="0.3">
      <c r="A240" s="1">
        <v>238</v>
      </c>
      <c r="B240" t="s">
        <v>187</v>
      </c>
      <c r="C240" s="2">
        <v>44926</v>
      </c>
      <c r="D240">
        <v>17649000</v>
      </c>
    </row>
    <row r="241" spans="1:4" hidden="1" x14ac:dyDescent="0.3">
      <c r="A241" s="1">
        <v>239</v>
      </c>
      <c r="B241" t="s">
        <v>188</v>
      </c>
      <c r="C241" s="2">
        <v>44926</v>
      </c>
      <c r="D241">
        <v>644856000</v>
      </c>
    </row>
    <row r="242" spans="1:4" hidden="1" x14ac:dyDescent="0.3">
      <c r="A242" s="1">
        <v>240</v>
      </c>
      <c r="B242" t="s">
        <v>189</v>
      </c>
      <c r="C242" s="2">
        <v>44926</v>
      </c>
      <c r="D242">
        <v>432873000</v>
      </c>
    </row>
    <row r="243" spans="1:4" hidden="1" x14ac:dyDescent="0.3">
      <c r="A243" s="1">
        <v>241</v>
      </c>
      <c r="B243" t="s">
        <v>190</v>
      </c>
      <c r="C243" s="2">
        <v>44926</v>
      </c>
      <c r="D243">
        <v>9357000</v>
      </c>
    </row>
    <row r="244" spans="1:4" hidden="1" x14ac:dyDescent="0.3">
      <c r="A244" s="1">
        <v>242</v>
      </c>
      <c r="B244" t="s">
        <v>191</v>
      </c>
      <c r="C244" s="2">
        <v>44926</v>
      </c>
      <c r="D244">
        <v>3013000</v>
      </c>
    </row>
    <row r="245" spans="1:4" hidden="1" x14ac:dyDescent="0.3">
      <c r="A245" s="1">
        <v>243</v>
      </c>
      <c r="B245" t="s">
        <v>192</v>
      </c>
      <c r="C245" s="2">
        <v>44926</v>
      </c>
      <c r="D245">
        <v>1942000</v>
      </c>
    </row>
    <row r="246" spans="1:4" hidden="1" x14ac:dyDescent="0.3">
      <c r="A246" s="1">
        <v>244</v>
      </c>
      <c r="B246" t="s">
        <v>193</v>
      </c>
      <c r="C246" s="2">
        <v>44926</v>
      </c>
      <c r="D246">
        <v>954000</v>
      </c>
    </row>
    <row r="247" spans="1:4" hidden="1" x14ac:dyDescent="0.3">
      <c r="A247" s="1">
        <v>245</v>
      </c>
      <c r="B247" t="s">
        <v>194</v>
      </c>
      <c r="C247" s="2">
        <v>44926</v>
      </c>
      <c r="D247">
        <v>51765000</v>
      </c>
    </row>
    <row r="248" spans="1:4" hidden="1" x14ac:dyDescent="0.3">
      <c r="A248" s="1">
        <v>246</v>
      </c>
      <c r="B248" t="s">
        <v>195</v>
      </c>
      <c r="C248" s="2">
        <v>44926</v>
      </c>
      <c r="D248">
        <v>51765000</v>
      </c>
    </row>
    <row r="249" spans="1:4" hidden="1" x14ac:dyDescent="0.3">
      <c r="A249" s="1">
        <v>247</v>
      </c>
      <c r="B249" t="s">
        <v>196</v>
      </c>
      <c r="C249" s="2">
        <v>44926</v>
      </c>
      <c r="D249">
        <v>51765000</v>
      </c>
    </row>
    <row r="250" spans="1:4" hidden="1" x14ac:dyDescent="0.3">
      <c r="A250" s="1">
        <v>248</v>
      </c>
      <c r="B250" t="s">
        <v>197</v>
      </c>
      <c r="C250" s="2">
        <v>44926</v>
      </c>
      <c r="D250">
        <v>51765000</v>
      </c>
    </row>
    <row r="251" spans="1:4" hidden="1" x14ac:dyDescent="0.3">
      <c r="A251" s="1">
        <v>249</v>
      </c>
      <c r="B251" t="s">
        <v>198</v>
      </c>
      <c r="C251" s="2">
        <v>44926</v>
      </c>
      <c r="D251">
        <v>56775000</v>
      </c>
    </row>
    <row r="252" spans="1:4" hidden="1" x14ac:dyDescent="0.3">
      <c r="A252" s="1">
        <v>250</v>
      </c>
      <c r="B252" t="s">
        <v>199</v>
      </c>
      <c r="C252" s="2">
        <v>44926</v>
      </c>
      <c r="D252">
        <v>2167000</v>
      </c>
    </row>
    <row r="253" spans="1:4" hidden="1" x14ac:dyDescent="0.3">
      <c r="A253" s="1">
        <v>251</v>
      </c>
      <c r="B253" t="s">
        <v>200</v>
      </c>
      <c r="C253" s="2">
        <v>44926</v>
      </c>
      <c r="D253">
        <v>54608000</v>
      </c>
    </row>
    <row r="254" spans="1:4" hidden="1" x14ac:dyDescent="0.3">
      <c r="A254" s="1">
        <v>252</v>
      </c>
      <c r="B254" t="s">
        <v>201</v>
      </c>
      <c r="C254" s="2">
        <v>44926</v>
      </c>
      <c r="D254">
        <v>309067000</v>
      </c>
    </row>
    <row r="255" spans="1:4" hidden="1" x14ac:dyDescent="0.3">
      <c r="A255" s="1">
        <v>253</v>
      </c>
      <c r="B255" t="s">
        <v>202</v>
      </c>
      <c r="C255" s="2">
        <v>44926</v>
      </c>
      <c r="D255">
        <v>-100215000</v>
      </c>
    </row>
    <row r="256" spans="1:4" hidden="1" x14ac:dyDescent="0.3">
      <c r="A256" s="1">
        <v>254</v>
      </c>
      <c r="B256" t="s">
        <v>203</v>
      </c>
      <c r="C256" s="2">
        <v>44926</v>
      </c>
      <c r="D256">
        <v>409282000</v>
      </c>
    </row>
    <row r="257" spans="1:4" hidden="1" x14ac:dyDescent="0.3">
      <c r="A257" s="1">
        <v>255</v>
      </c>
      <c r="B257" t="s">
        <v>204</v>
      </c>
      <c r="C257" s="2">
        <v>44926</v>
      </c>
      <c r="D257">
        <v>815000</v>
      </c>
    </row>
    <row r="258" spans="1:4" hidden="1" x14ac:dyDescent="0.3">
      <c r="A258" s="1">
        <v>256</v>
      </c>
      <c r="B258" t="s">
        <v>205</v>
      </c>
      <c r="C258" s="2">
        <v>44926</v>
      </c>
      <c r="D258">
        <v>152105000</v>
      </c>
    </row>
    <row r="259" spans="1:4" hidden="1" x14ac:dyDescent="0.3">
      <c r="A259" s="1">
        <v>257</v>
      </c>
      <c r="B259" t="s">
        <v>206</v>
      </c>
      <c r="C259" s="2">
        <v>44926</v>
      </c>
      <c r="D259">
        <v>221795000</v>
      </c>
    </row>
    <row r="260" spans="1:4" hidden="1" x14ac:dyDescent="0.3">
      <c r="A260" s="1">
        <v>258</v>
      </c>
      <c r="B260" t="s">
        <v>207</v>
      </c>
      <c r="C260" s="2">
        <v>44926</v>
      </c>
      <c r="D260">
        <v>203788000</v>
      </c>
    </row>
    <row r="261" spans="1:4" hidden="1" x14ac:dyDescent="0.3">
      <c r="A261" s="1">
        <v>259</v>
      </c>
      <c r="B261" t="s">
        <v>208</v>
      </c>
      <c r="C261" s="2">
        <v>44926</v>
      </c>
      <c r="D261">
        <v>2585000</v>
      </c>
    </row>
    <row r="262" spans="1:4" hidden="1" x14ac:dyDescent="0.3">
      <c r="A262" s="1">
        <v>260</v>
      </c>
      <c r="B262" t="s">
        <v>209</v>
      </c>
      <c r="C262" s="2">
        <v>44926</v>
      </c>
      <c r="D262">
        <v>1303000</v>
      </c>
    </row>
    <row r="263" spans="1:4" hidden="1" x14ac:dyDescent="0.3">
      <c r="A263" s="1">
        <v>261</v>
      </c>
      <c r="B263" t="s">
        <v>210</v>
      </c>
      <c r="C263" s="2">
        <v>44926</v>
      </c>
      <c r="D263">
        <v>34567000</v>
      </c>
    </row>
    <row r="264" spans="1:4" hidden="1" x14ac:dyDescent="0.3">
      <c r="A264" s="1">
        <v>262</v>
      </c>
      <c r="B264" t="s">
        <v>211</v>
      </c>
      <c r="C264" s="2">
        <v>44926</v>
      </c>
      <c r="D264">
        <v>211983000</v>
      </c>
    </row>
    <row r="265" spans="1:4" hidden="1" x14ac:dyDescent="0.3">
      <c r="A265" s="1">
        <v>263</v>
      </c>
      <c r="B265" t="s">
        <v>212</v>
      </c>
      <c r="C265" s="2">
        <v>44926</v>
      </c>
      <c r="D265">
        <v>7625000</v>
      </c>
    </row>
    <row r="266" spans="1:4" hidden="1" x14ac:dyDescent="0.3">
      <c r="A266" s="1">
        <v>264</v>
      </c>
      <c r="B266" t="s">
        <v>213</v>
      </c>
      <c r="C266" s="2">
        <v>44926</v>
      </c>
      <c r="D266">
        <v>182000</v>
      </c>
    </row>
    <row r="267" spans="1:4" hidden="1" x14ac:dyDescent="0.3">
      <c r="A267" s="1">
        <v>265</v>
      </c>
      <c r="B267" t="s">
        <v>214</v>
      </c>
      <c r="C267" s="2">
        <v>44926</v>
      </c>
      <c r="D267">
        <v>1674000</v>
      </c>
    </row>
    <row r="268" spans="1:4" hidden="1" x14ac:dyDescent="0.3">
      <c r="A268" s="1">
        <v>266</v>
      </c>
      <c r="B268" t="s">
        <v>215</v>
      </c>
      <c r="C268" s="2">
        <v>44926</v>
      </c>
      <c r="D268">
        <v>32402000</v>
      </c>
    </row>
    <row r="269" spans="1:4" hidden="1" x14ac:dyDescent="0.3">
      <c r="A269" s="1">
        <v>267</v>
      </c>
      <c r="B269" t="s">
        <v>216</v>
      </c>
      <c r="C269" s="2">
        <v>44926</v>
      </c>
    </row>
    <row r="270" spans="1:4" hidden="1" x14ac:dyDescent="0.3">
      <c r="A270" s="1">
        <v>268</v>
      </c>
      <c r="B270" t="s">
        <v>217</v>
      </c>
      <c r="C270" s="2">
        <v>44926</v>
      </c>
      <c r="D270">
        <v>7311000</v>
      </c>
    </row>
    <row r="271" spans="1:4" hidden="1" x14ac:dyDescent="0.3">
      <c r="A271" s="1">
        <v>269</v>
      </c>
      <c r="B271" t="s">
        <v>218</v>
      </c>
      <c r="C271" s="2">
        <v>44926</v>
      </c>
      <c r="D271">
        <v>7311000</v>
      </c>
    </row>
    <row r="272" spans="1:4" hidden="1" x14ac:dyDescent="0.3">
      <c r="A272" s="1">
        <v>270</v>
      </c>
      <c r="B272" t="s">
        <v>219</v>
      </c>
      <c r="C272" s="2">
        <v>44926</v>
      </c>
      <c r="D272">
        <v>7311000</v>
      </c>
    </row>
    <row r="273" spans="1:4" hidden="1" x14ac:dyDescent="0.3">
      <c r="A273" s="1">
        <v>271</v>
      </c>
      <c r="B273" t="s">
        <v>220</v>
      </c>
      <c r="C273" s="2">
        <v>44926</v>
      </c>
      <c r="D273">
        <v>57419000</v>
      </c>
    </row>
    <row r="274" spans="1:4" hidden="1" x14ac:dyDescent="0.3">
      <c r="A274" s="1">
        <v>272</v>
      </c>
      <c r="B274" t="s">
        <v>221</v>
      </c>
      <c r="C274" s="2">
        <v>44926</v>
      </c>
      <c r="D274">
        <v>9771000</v>
      </c>
    </row>
    <row r="275" spans="1:4" hidden="1" x14ac:dyDescent="0.3">
      <c r="A275" s="1">
        <v>273</v>
      </c>
      <c r="B275" t="s">
        <v>222</v>
      </c>
      <c r="C275" s="2">
        <v>44926</v>
      </c>
      <c r="D275">
        <v>12421000</v>
      </c>
    </row>
    <row r="276" spans="1:4" hidden="1" x14ac:dyDescent="0.3">
      <c r="A276" s="1">
        <v>274</v>
      </c>
      <c r="B276" t="s">
        <v>223</v>
      </c>
      <c r="C276" s="2">
        <v>44926</v>
      </c>
      <c r="D276">
        <v>4144000</v>
      </c>
    </row>
    <row r="277" spans="1:4" hidden="1" x14ac:dyDescent="0.3">
      <c r="A277" s="1">
        <v>275</v>
      </c>
      <c r="B277" t="s">
        <v>224</v>
      </c>
      <c r="C277" s="2">
        <v>44926</v>
      </c>
    </row>
    <row r="278" spans="1:4" hidden="1" x14ac:dyDescent="0.3">
      <c r="A278" s="1">
        <v>276</v>
      </c>
      <c r="B278" t="s">
        <v>225</v>
      </c>
      <c r="C278" s="2">
        <v>44926</v>
      </c>
      <c r="D278">
        <v>31083000</v>
      </c>
    </row>
    <row r="279" spans="1:4" hidden="1" x14ac:dyDescent="0.3">
      <c r="A279" s="1">
        <v>277</v>
      </c>
      <c r="B279" t="s">
        <v>226</v>
      </c>
      <c r="C279" s="2">
        <v>44926</v>
      </c>
      <c r="D279">
        <v>0</v>
      </c>
    </row>
    <row r="280" spans="1:4" hidden="1" x14ac:dyDescent="0.3">
      <c r="A280" s="1">
        <v>278</v>
      </c>
      <c r="B280" t="s">
        <v>227</v>
      </c>
      <c r="C280" s="2">
        <v>44926</v>
      </c>
      <c r="D280">
        <v>31083000</v>
      </c>
    </row>
    <row r="281" spans="1:4" hidden="1" x14ac:dyDescent="0.3">
      <c r="A281" s="1">
        <v>279</v>
      </c>
      <c r="B281" t="s">
        <v>228</v>
      </c>
      <c r="C281" s="2">
        <v>44926</v>
      </c>
      <c r="D281">
        <v>105370000</v>
      </c>
    </row>
    <row r="282" spans="1:4" hidden="1" x14ac:dyDescent="0.3">
      <c r="A282" s="1">
        <v>280</v>
      </c>
      <c r="B282" t="s">
        <v>229</v>
      </c>
      <c r="C282" s="2">
        <v>44926</v>
      </c>
      <c r="D282">
        <v>64976000</v>
      </c>
    </row>
    <row r="283" spans="1:4" hidden="1" x14ac:dyDescent="0.3">
      <c r="A283" s="1">
        <v>281</v>
      </c>
      <c r="B283" t="s">
        <v>230</v>
      </c>
      <c r="C283" s="2">
        <v>44926</v>
      </c>
      <c r="D283">
        <v>40394000</v>
      </c>
    </row>
    <row r="284" spans="1:4" x14ac:dyDescent="0.3">
      <c r="A284" s="1">
        <v>282</v>
      </c>
      <c r="B284" t="s">
        <v>137</v>
      </c>
      <c r="C284" s="2">
        <v>44561</v>
      </c>
    </row>
    <row r="285" spans="1:4" x14ac:dyDescent="0.3">
      <c r="A285" s="1">
        <v>283</v>
      </c>
      <c r="B285" t="s">
        <v>138</v>
      </c>
      <c r="C285" s="2">
        <v>44561</v>
      </c>
      <c r="D285">
        <v>25171390</v>
      </c>
    </row>
    <row r="286" spans="1:4" hidden="1" x14ac:dyDescent="0.3">
      <c r="A286" s="1">
        <v>284</v>
      </c>
      <c r="B286" t="s">
        <v>139</v>
      </c>
      <c r="C286" s="2">
        <v>44561</v>
      </c>
      <c r="D286">
        <v>25171390</v>
      </c>
    </row>
    <row r="287" spans="1:4" hidden="1" x14ac:dyDescent="0.3">
      <c r="A287" s="1">
        <v>285</v>
      </c>
      <c r="B287" t="s">
        <v>140</v>
      </c>
      <c r="C287" s="2">
        <v>44561</v>
      </c>
      <c r="D287">
        <v>189789000</v>
      </c>
    </row>
    <row r="288" spans="1:4" hidden="1" x14ac:dyDescent="0.3">
      <c r="A288" s="1">
        <v>286</v>
      </c>
      <c r="B288" t="s">
        <v>141</v>
      </c>
      <c r="C288" s="2">
        <v>44561</v>
      </c>
      <c r="D288">
        <v>229103000</v>
      </c>
    </row>
    <row r="289" spans="1:4" hidden="1" x14ac:dyDescent="0.3">
      <c r="A289" s="1">
        <v>287</v>
      </c>
      <c r="B289" t="s">
        <v>142</v>
      </c>
      <c r="C289" s="2">
        <v>44561</v>
      </c>
      <c r="D289">
        <v>-57455000</v>
      </c>
    </row>
    <row r="290" spans="1:4" hidden="1" x14ac:dyDescent="0.3">
      <c r="A290" s="1">
        <v>288</v>
      </c>
      <c r="B290" t="s">
        <v>143</v>
      </c>
      <c r="C290" s="2">
        <v>44561</v>
      </c>
      <c r="D290">
        <v>229117000</v>
      </c>
    </row>
    <row r="291" spans="1:4" hidden="1" x14ac:dyDescent="0.3">
      <c r="A291" s="1">
        <v>289</v>
      </c>
      <c r="B291" t="s">
        <v>144</v>
      </c>
      <c r="C291" s="2">
        <v>44561</v>
      </c>
      <c r="D291">
        <v>-55141000</v>
      </c>
    </row>
    <row r="292" spans="1:4" hidden="1" x14ac:dyDescent="0.3">
      <c r="A292" s="1">
        <v>290</v>
      </c>
      <c r="B292" t="s">
        <v>145</v>
      </c>
      <c r="C292" s="2">
        <v>44561</v>
      </c>
      <c r="D292">
        <v>-57455000</v>
      </c>
    </row>
    <row r="293" spans="1:4" hidden="1" x14ac:dyDescent="0.3">
      <c r="A293" s="1">
        <v>291</v>
      </c>
      <c r="B293" t="s">
        <v>146</v>
      </c>
      <c r="C293" s="2">
        <v>44561</v>
      </c>
      <c r="D293">
        <v>0</v>
      </c>
    </row>
    <row r="294" spans="1:4" hidden="1" x14ac:dyDescent="0.3">
      <c r="A294" s="1">
        <v>292</v>
      </c>
      <c r="B294" t="s">
        <v>147</v>
      </c>
      <c r="C294" s="2">
        <v>44561</v>
      </c>
      <c r="D294">
        <v>14000</v>
      </c>
    </row>
    <row r="295" spans="1:4" hidden="1" x14ac:dyDescent="0.3">
      <c r="A295" s="1">
        <v>293</v>
      </c>
      <c r="B295" t="s">
        <v>148</v>
      </c>
      <c r="C295" s="2">
        <v>44561</v>
      </c>
      <c r="D295">
        <v>30210000</v>
      </c>
    </row>
    <row r="296" spans="1:4" hidden="1" x14ac:dyDescent="0.3">
      <c r="A296" s="1">
        <v>294</v>
      </c>
      <c r="B296" t="s">
        <v>149</v>
      </c>
      <c r="C296" s="2">
        <v>44561</v>
      </c>
      <c r="D296">
        <v>134097000</v>
      </c>
    </row>
    <row r="297" spans="1:4" hidden="1" x14ac:dyDescent="0.3">
      <c r="A297" s="1">
        <v>295</v>
      </c>
      <c r="B297" t="s">
        <v>150</v>
      </c>
      <c r="C297" s="2">
        <v>44561</v>
      </c>
      <c r="D297">
        <v>94957000</v>
      </c>
    </row>
    <row r="298" spans="1:4" hidden="1" x14ac:dyDescent="0.3">
      <c r="A298" s="1">
        <v>296</v>
      </c>
      <c r="B298" t="s">
        <v>151</v>
      </c>
      <c r="C298" s="2">
        <v>44561</v>
      </c>
      <c r="D298">
        <v>94943000</v>
      </c>
    </row>
    <row r="299" spans="1:4" hidden="1" x14ac:dyDescent="0.3">
      <c r="A299" s="1">
        <v>297</v>
      </c>
      <c r="B299" t="s">
        <v>152</v>
      </c>
      <c r="C299" s="2">
        <v>44561</v>
      </c>
      <c r="D299">
        <v>14000</v>
      </c>
    </row>
    <row r="300" spans="1:4" hidden="1" x14ac:dyDescent="0.3">
      <c r="A300" s="1">
        <v>298</v>
      </c>
      <c r="B300" t="s">
        <v>153</v>
      </c>
      <c r="C300" s="2">
        <v>44561</v>
      </c>
      <c r="D300">
        <v>0</v>
      </c>
    </row>
    <row r="301" spans="1:4" hidden="1" x14ac:dyDescent="0.3">
      <c r="A301" s="1">
        <v>299</v>
      </c>
      <c r="B301" t="s">
        <v>154</v>
      </c>
      <c r="C301" s="2">
        <v>44561</v>
      </c>
    </row>
    <row r="302" spans="1:4" hidden="1" x14ac:dyDescent="0.3">
      <c r="A302" s="1">
        <v>300</v>
      </c>
      <c r="B302" t="s">
        <v>155</v>
      </c>
      <c r="C302" s="2">
        <v>44561</v>
      </c>
    </row>
    <row r="303" spans="1:4" hidden="1" x14ac:dyDescent="0.3">
      <c r="A303" s="1">
        <v>301</v>
      </c>
      <c r="B303" t="s">
        <v>156</v>
      </c>
      <c r="C303" s="2">
        <v>44561</v>
      </c>
      <c r="D303">
        <v>0</v>
      </c>
    </row>
    <row r="304" spans="1:4" hidden="1" x14ac:dyDescent="0.3">
      <c r="A304" s="1">
        <v>302</v>
      </c>
      <c r="B304" t="s">
        <v>157</v>
      </c>
      <c r="C304" s="2">
        <v>44561</v>
      </c>
      <c r="D304">
        <v>0</v>
      </c>
    </row>
    <row r="305" spans="1:4" hidden="1" x14ac:dyDescent="0.3">
      <c r="A305" s="1">
        <v>303</v>
      </c>
      <c r="B305" t="s">
        <v>158</v>
      </c>
      <c r="C305" s="2">
        <v>44561</v>
      </c>
      <c r="D305">
        <v>14000</v>
      </c>
    </row>
    <row r="306" spans="1:4" hidden="1" x14ac:dyDescent="0.3">
      <c r="A306" s="1">
        <v>304</v>
      </c>
      <c r="B306" t="s">
        <v>159</v>
      </c>
      <c r="C306" s="2">
        <v>44561</v>
      </c>
      <c r="D306">
        <v>14000</v>
      </c>
    </row>
    <row r="307" spans="1:4" hidden="1" x14ac:dyDescent="0.3">
      <c r="A307" s="1">
        <v>305</v>
      </c>
      <c r="B307" t="s">
        <v>160</v>
      </c>
      <c r="C307" s="2">
        <v>44561</v>
      </c>
      <c r="D307">
        <v>30210000</v>
      </c>
    </row>
    <row r="308" spans="1:4" hidden="1" x14ac:dyDescent="0.3">
      <c r="A308" s="1">
        <v>306</v>
      </c>
      <c r="B308" t="s">
        <v>161</v>
      </c>
      <c r="C308" s="2">
        <v>44561</v>
      </c>
      <c r="D308">
        <v>93769000</v>
      </c>
    </row>
    <row r="309" spans="1:4" hidden="1" x14ac:dyDescent="0.3">
      <c r="A309" s="1">
        <v>307</v>
      </c>
      <c r="B309" t="s">
        <v>162</v>
      </c>
      <c r="C309" s="2">
        <v>44561</v>
      </c>
      <c r="D309">
        <v>77802000</v>
      </c>
    </row>
    <row r="310" spans="1:4" hidden="1" x14ac:dyDescent="0.3">
      <c r="A310" s="1">
        <v>308</v>
      </c>
      <c r="B310" t="s">
        <v>163</v>
      </c>
      <c r="C310" s="2">
        <v>44561</v>
      </c>
      <c r="D310">
        <v>285887000</v>
      </c>
    </row>
    <row r="311" spans="1:4" hidden="1" x14ac:dyDescent="0.3">
      <c r="A311" s="1">
        <v>309</v>
      </c>
      <c r="B311" t="s">
        <v>164</v>
      </c>
      <c r="C311" s="2">
        <v>44561</v>
      </c>
      <c r="D311">
        <v>143771000</v>
      </c>
    </row>
    <row r="312" spans="1:4" hidden="1" x14ac:dyDescent="0.3">
      <c r="A312" s="1">
        <v>310</v>
      </c>
      <c r="B312" t="s">
        <v>165</v>
      </c>
      <c r="C312" s="2">
        <v>44561</v>
      </c>
      <c r="D312">
        <v>4781000</v>
      </c>
    </row>
    <row r="313" spans="1:4" hidden="1" x14ac:dyDescent="0.3">
      <c r="A313" s="1">
        <v>311</v>
      </c>
      <c r="B313" t="s">
        <v>166</v>
      </c>
      <c r="C313" s="2">
        <v>44561</v>
      </c>
      <c r="D313">
        <v>93755000</v>
      </c>
    </row>
    <row r="314" spans="1:4" hidden="1" x14ac:dyDescent="0.3">
      <c r="A314" s="1">
        <v>312</v>
      </c>
      <c r="B314" t="s">
        <v>167</v>
      </c>
      <c r="C314" s="2">
        <v>44561</v>
      </c>
      <c r="D314">
        <v>0</v>
      </c>
    </row>
    <row r="315" spans="1:4" hidden="1" x14ac:dyDescent="0.3">
      <c r="A315" s="1">
        <v>313</v>
      </c>
      <c r="B315" t="s">
        <v>168</v>
      </c>
      <c r="C315" s="2">
        <v>44561</v>
      </c>
      <c r="D315">
        <v>134083000</v>
      </c>
    </row>
    <row r="316" spans="1:4" hidden="1" x14ac:dyDescent="0.3">
      <c r="A316" s="1">
        <v>314</v>
      </c>
      <c r="B316" t="s">
        <v>169</v>
      </c>
      <c r="C316" s="2">
        <v>44561</v>
      </c>
      <c r="D316">
        <v>0</v>
      </c>
    </row>
    <row r="317" spans="1:4" hidden="1" x14ac:dyDescent="0.3">
      <c r="A317" s="1">
        <v>315</v>
      </c>
      <c r="B317" t="s">
        <v>170</v>
      </c>
      <c r="C317" s="2">
        <v>44561</v>
      </c>
      <c r="D317">
        <v>134083000</v>
      </c>
    </row>
    <row r="318" spans="1:4" hidden="1" x14ac:dyDescent="0.3">
      <c r="A318" s="1">
        <v>316</v>
      </c>
      <c r="B318" t="s">
        <v>171</v>
      </c>
      <c r="C318" s="2">
        <v>44561</v>
      </c>
      <c r="D318">
        <v>4907000</v>
      </c>
    </row>
    <row r="319" spans="1:4" hidden="1" x14ac:dyDescent="0.3">
      <c r="A319" s="1">
        <v>317</v>
      </c>
      <c r="B319" t="s">
        <v>172</v>
      </c>
      <c r="C319" s="2">
        <v>44561</v>
      </c>
      <c r="D319">
        <v>142116000</v>
      </c>
    </row>
    <row r="320" spans="1:4" hidden="1" x14ac:dyDescent="0.3">
      <c r="A320" s="1">
        <v>318</v>
      </c>
      <c r="B320" t="s">
        <v>173</v>
      </c>
      <c r="C320" s="2">
        <v>44561</v>
      </c>
      <c r="D320">
        <v>1366000</v>
      </c>
    </row>
    <row r="321" spans="1:4" hidden="1" x14ac:dyDescent="0.3">
      <c r="A321" s="1">
        <v>319</v>
      </c>
      <c r="B321" t="s">
        <v>174</v>
      </c>
      <c r="C321" s="2">
        <v>44561</v>
      </c>
      <c r="D321">
        <v>9785000</v>
      </c>
    </row>
    <row r="322" spans="1:4" hidden="1" x14ac:dyDescent="0.3">
      <c r="A322" s="1">
        <v>320</v>
      </c>
      <c r="B322" t="s">
        <v>175</v>
      </c>
      <c r="C322" s="2">
        <v>44561</v>
      </c>
      <c r="D322">
        <v>9785000</v>
      </c>
    </row>
    <row r="323" spans="1:4" hidden="1" x14ac:dyDescent="0.3">
      <c r="A323" s="1">
        <v>321</v>
      </c>
      <c r="B323" t="s">
        <v>176</v>
      </c>
      <c r="C323" s="2">
        <v>44561</v>
      </c>
      <c r="D323">
        <v>95020000</v>
      </c>
    </row>
    <row r="324" spans="1:4" hidden="1" x14ac:dyDescent="0.3">
      <c r="A324" s="1">
        <v>322</v>
      </c>
      <c r="B324" t="s">
        <v>177</v>
      </c>
      <c r="C324" s="2">
        <v>44561</v>
      </c>
      <c r="D324">
        <v>0</v>
      </c>
    </row>
    <row r="325" spans="1:4" hidden="1" x14ac:dyDescent="0.3">
      <c r="A325" s="1">
        <v>323</v>
      </c>
      <c r="B325" t="s">
        <v>178</v>
      </c>
      <c r="C325" s="2">
        <v>44561</v>
      </c>
      <c r="D325">
        <v>95020000</v>
      </c>
    </row>
    <row r="326" spans="1:4" hidden="1" x14ac:dyDescent="0.3">
      <c r="A326" s="1">
        <v>324</v>
      </c>
      <c r="B326" t="s">
        <v>179</v>
      </c>
      <c r="C326" s="2">
        <v>44561</v>
      </c>
      <c r="D326">
        <v>14375000</v>
      </c>
    </row>
    <row r="327" spans="1:4" hidden="1" x14ac:dyDescent="0.3">
      <c r="A327" s="1">
        <v>325</v>
      </c>
      <c r="B327" t="s">
        <v>180</v>
      </c>
      <c r="C327" s="2">
        <v>44561</v>
      </c>
      <c r="D327">
        <v>80645000</v>
      </c>
    </row>
    <row r="328" spans="1:4" hidden="1" x14ac:dyDescent="0.3">
      <c r="A328" s="1">
        <v>326</v>
      </c>
      <c r="B328" t="s">
        <v>181</v>
      </c>
      <c r="C328" s="2">
        <v>44561</v>
      </c>
      <c r="D328">
        <v>831000</v>
      </c>
    </row>
    <row r="329" spans="1:4" hidden="1" x14ac:dyDescent="0.3">
      <c r="A329" s="1">
        <v>327</v>
      </c>
      <c r="B329" t="s">
        <v>182</v>
      </c>
      <c r="C329" s="2">
        <v>44561</v>
      </c>
      <c r="D329">
        <v>35114000</v>
      </c>
    </row>
    <row r="330" spans="1:4" hidden="1" x14ac:dyDescent="0.3">
      <c r="A330" s="1">
        <v>328</v>
      </c>
      <c r="B330" t="s">
        <v>183</v>
      </c>
      <c r="C330" s="2">
        <v>44561</v>
      </c>
      <c r="D330">
        <v>20389000</v>
      </c>
    </row>
    <row r="331" spans="1:4" hidden="1" x14ac:dyDescent="0.3">
      <c r="A331" s="1">
        <v>329</v>
      </c>
      <c r="B331" t="s">
        <v>184</v>
      </c>
      <c r="C331" s="2">
        <v>44561</v>
      </c>
      <c r="D331">
        <v>14725000</v>
      </c>
    </row>
    <row r="332" spans="1:4" hidden="1" x14ac:dyDescent="0.3">
      <c r="A332" s="1">
        <v>330</v>
      </c>
      <c r="B332" t="s">
        <v>185</v>
      </c>
      <c r="C332" s="2">
        <v>44561</v>
      </c>
      <c r="D332">
        <v>166000</v>
      </c>
    </row>
    <row r="333" spans="1:4" hidden="1" x14ac:dyDescent="0.3">
      <c r="A333" s="1">
        <v>331</v>
      </c>
      <c r="B333" t="s">
        <v>186</v>
      </c>
      <c r="C333" s="2">
        <v>44561</v>
      </c>
      <c r="D333">
        <v>1978000</v>
      </c>
    </row>
    <row r="334" spans="1:4" hidden="1" x14ac:dyDescent="0.3">
      <c r="A334" s="1">
        <v>332</v>
      </c>
      <c r="B334" t="s">
        <v>187</v>
      </c>
      <c r="C334" s="2">
        <v>44561</v>
      </c>
      <c r="D334">
        <v>12581000</v>
      </c>
    </row>
    <row r="335" spans="1:4" hidden="1" x14ac:dyDescent="0.3">
      <c r="A335" s="1">
        <v>333</v>
      </c>
      <c r="B335" t="s">
        <v>188</v>
      </c>
      <c r="C335" s="2">
        <v>44561</v>
      </c>
      <c r="D335">
        <v>380844000</v>
      </c>
    </row>
    <row r="336" spans="1:4" hidden="1" x14ac:dyDescent="0.3">
      <c r="A336" s="1">
        <v>334</v>
      </c>
      <c r="B336" t="s">
        <v>189</v>
      </c>
      <c r="C336" s="2">
        <v>44561</v>
      </c>
      <c r="D336">
        <v>293869000</v>
      </c>
    </row>
    <row r="337" spans="1:4" hidden="1" x14ac:dyDescent="0.3">
      <c r="A337" s="1">
        <v>335</v>
      </c>
      <c r="B337" t="s">
        <v>190</v>
      </c>
      <c r="C337" s="2">
        <v>44561</v>
      </c>
      <c r="D337">
        <v>6254000</v>
      </c>
    </row>
    <row r="338" spans="1:4" hidden="1" x14ac:dyDescent="0.3">
      <c r="A338" s="1">
        <v>336</v>
      </c>
      <c r="B338" t="s">
        <v>191</v>
      </c>
      <c r="C338" s="2">
        <v>44561</v>
      </c>
      <c r="D338">
        <v>2370000</v>
      </c>
    </row>
    <row r="339" spans="1:4" hidden="1" x14ac:dyDescent="0.3">
      <c r="A339" s="1">
        <v>337</v>
      </c>
      <c r="B339" t="s">
        <v>192</v>
      </c>
      <c r="C339" s="2">
        <v>44561</v>
      </c>
      <c r="D339">
        <v>10856000</v>
      </c>
    </row>
    <row r="340" spans="1:4" hidden="1" x14ac:dyDescent="0.3">
      <c r="A340" s="1">
        <v>338</v>
      </c>
      <c r="B340" t="s">
        <v>193</v>
      </c>
      <c r="C340" s="2">
        <v>44561</v>
      </c>
      <c r="D340">
        <v>0</v>
      </c>
    </row>
    <row r="341" spans="1:4" hidden="1" x14ac:dyDescent="0.3">
      <c r="A341" s="1">
        <v>339</v>
      </c>
      <c r="B341" t="s">
        <v>194</v>
      </c>
      <c r="C341" s="2">
        <v>44561</v>
      </c>
      <c r="D341">
        <v>47150000</v>
      </c>
    </row>
    <row r="342" spans="1:4" hidden="1" x14ac:dyDescent="0.3">
      <c r="A342" s="1">
        <v>340</v>
      </c>
      <c r="B342" t="s">
        <v>195</v>
      </c>
      <c r="C342" s="2">
        <v>44561</v>
      </c>
      <c r="D342">
        <v>47150000</v>
      </c>
    </row>
    <row r="343" spans="1:4" hidden="1" x14ac:dyDescent="0.3">
      <c r="A343" s="1">
        <v>341</v>
      </c>
      <c r="B343" t="s">
        <v>196</v>
      </c>
      <c r="C343" s="2">
        <v>44561</v>
      </c>
      <c r="D343">
        <v>47150000</v>
      </c>
    </row>
    <row r="344" spans="1:4" hidden="1" x14ac:dyDescent="0.3">
      <c r="A344" s="1">
        <v>342</v>
      </c>
      <c r="B344" t="s">
        <v>197</v>
      </c>
      <c r="C344" s="2">
        <v>44561</v>
      </c>
      <c r="D344">
        <v>47150000</v>
      </c>
    </row>
    <row r="345" spans="1:4" hidden="1" x14ac:dyDescent="0.3">
      <c r="A345" s="1">
        <v>343</v>
      </c>
      <c r="B345" t="s">
        <v>198</v>
      </c>
      <c r="C345" s="2">
        <v>44561</v>
      </c>
      <c r="D345">
        <v>57469000</v>
      </c>
    </row>
    <row r="346" spans="1:4" hidden="1" x14ac:dyDescent="0.3">
      <c r="A346" s="1">
        <v>344</v>
      </c>
      <c r="B346" t="s">
        <v>199</v>
      </c>
      <c r="C346" s="2">
        <v>44561</v>
      </c>
      <c r="D346">
        <v>2861000</v>
      </c>
    </row>
    <row r="347" spans="1:4" hidden="1" x14ac:dyDescent="0.3">
      <c r="A347" s="1">
        <v>345</v>
      </c>
      <c r="B347" t="s">
        <v>200</v>
      </c>
      <c r="C347" s="2">
        <v>44561</v>
      </c>
      <c r="D347">
        <v>54608000</v>
      </c>
    </row>
    <row r="348" spans="1:4" hidden="1" x14ac:dyDescent="0.3">
      <c r="A348" s="1">
        <v>346</v>
      </c>
      <c r="B348" t="s">
        <v>201</v>
      </c>
      <c r="C348" s="2">
        <v>44561</v>
      </c>
      <c r="D348">
        <v>169770000</v>
      </c>
    </row>
    <row r="349" spans="1:4" hidden="1" x14ac:dyDescent="0.3">
      <c r="A349" s="1">
        <v>347</v>
      </c>
      <c r="B349" t="s">
        <v>202</v>
      </c>
      <c r="C349" s="2">
        <v>44561</v>
      </c>
      <c r="D349">
        <v>-89710000</v>
      </c>
    </row>
    <row r="350" spans="1:4" hidden="1" x14ac:dyDescent="0.3">
      <c r="A350" s="1">
        <v>348</v>
      </c>
      <c r="B350" t="s">
        <v>203</v>
      </c>
      <c r="C350" s="2">
        <v>44561</v>
      </c>
      <c r="D350">
        <v>259480000</v>
      </c>
    </row>
    <row r="351" spans="1:4" hidden="1" x14ac:dyDescent="0.3">
      <c r="A351" s="1">
        <v>349</v>
      </c>
      <c r="B351" t="s">
        <v>204</v>
      </c>
      <c r="C351" s="2">
        <v>44561</v>
      </c>
      <c r="D351">
        <v>815000</v>
      </c>
    </row>
    <row r="352" spans="1:4" hidden="1" x14ac:dyDescent="0.3">
      <c r="A352" s="1">
        <v>350</v>
      </c>
      <c r="B352" t="s">
        <v>205</v>
      </c>
      <c r="C352" s="2">
        <v>44561</v>
      </c>
      <c r="D352">
        <v>62616000</v>
      </c>
    </row>
    <row r="353" spans="1:4" hidden="1" x14ac:dyDescent="0.3">
      <c r="A353" s="1">
        <v>351</v>
      </c>
      <c r="B353" t="s">
        <v>206</v>
      </c>
      <c r="C353" s="2">
        <v>44561</v>
      </c>
      <c r="D353">
        <v>168157000</v>
      </c>
    </row>
    <row r="354" spans="1:4" hidden="1" x14ac:dyDescent="0.3">
      <c r="A354" s="1">
        <v>352</v>
      </c>
      <c r="B354" t="s">
        <v>207</v>
      </c>
      <c r="C354" s="2">
        <v>44561</v>
      </c>
      <c r="D354">
        <v>162373000</v>
      </c>
    </row>
    <row r="355" spans="1:4" hidden="1" x14ac:dyDescent="0.3">
      <c r="A355" s="1">
        <v>353</v>
      </c>
      <c r="B355" t="s">
        <v>208</v>
      </c>
      <c r="C355" s="2">
        <v>44561</v>
      </c>
      <c r="D355">
        <v>2544000</v>
      </c>
    </row>
    <row r="356" spans="1:4" hidden="1" x14ac:dyDescent="0.3">
      <c r="A356" s="1">
        <v>354</v>
      </c>
      <c r="B356" t="s">
        <v>209</v>
      </c>
      <c r="C356" s="2">
        <v>44561</v>
      </c>
      <c r="D356">
        <v>1303000</v>
      </c>
    </row>
    <row r="357" spans="1:4" hidden="1" x14ac:dyDescent="0.3">
      <c r="A357" s="1">
        <v>355</v>
      </c>
      <c r="B357" t="s">
        <v>210</v>
      </c>
      <c r="C357" s="2">
        <v>44561</v>
      </c>
      <c r="D357">
        <v>27892000</v>
      </c>
    </row>
    <row r="358" spans="1:4" hidden="1" x14ac:dyDescent="0.3">
      <c r="A358" s="1">
        <v>356</v>
      </c>
      <c r="B358" t="s">
        <v>211</v>
      </c>
      <c r="C358" s="2">
        <v>44561</v>
      </c>
      <c r="D358">
        <v>86975000</v>
      </c>
    </row>
    <row r="359" spans="1:4" hidden="1" x14ac:dyDescent="0.3">
      <c r="A359" s="1">
        <v>357</v>
      </c>
      <c r="B359" t="s">
        <v>212</v>
      </c>
      <c r="C359" s="2">
        <v>44561</v>
      </c>
      <c r="D359">
        <v>5482000</v>
      </c>
    </row>
    <row r="360" spans="1:4" hidden="1" x14ac:dyDescent="0.3">
      <c r="A360" s="1">
        <v>358</v>
      </c>
      <c r="B360" t="s">
        <v>213</v>
      </c>
      <c r="C360" s="2">
        <v>44561</v>
      </c>
      <c r="D360">
        <v>382000</v>
      </c>
    </row>
    <row r="361" spans="1:4" hidden="1" x14ac:dyDescent="0.3">
      <c r="A361" s="1">
        <v>359</v>
      </c>
      <c r="B361" t="s">
        <v>214</v>
      </c>
      <c r="C361" s="2">
        <v>44561</v>
      </c>
      <c r="D361">
        <v>386000</v>
      </c>
    </row>
    <row r="362" spans="1:4" hidden="1" x14ac:dyDescent="0.3">
      <c r="A362" s="1">
        <v>360</v>
      </c>
      <c r="B362" t="s">
        <v>215</v>
      </c>
      <c r="C362" s="2">
        <v>44561</v>
      </c>
      <c r="D362">
        <v>0</v>
      </c>
    </row>
    <row r="363" spans="1:4" hidden="1" x14ac:dyDescent="0.3">
      <c r="A363" s="1">
        <v>361</v>
      </c>
      <c r="B363" t="s">
        <v>216</v>
      </c>
      <c r="C363" s="2">
        <v>44561</v>
      </c>
      <c r="D363">
        <v>5482000</v>
      </c>
    </row>
    <row r="364" spans="1:4" hidden="1" x14ac:dyDescent="0.3">
      <c r="A364" s="1">
        <v>362</v>
      </c>
      <c r="B364" t="s">
        <v>217</v>
      </c>
      <c r="C364" s="2">
        <v>44561</v>
      </c>
      <c r="D364">
        <v>5143000</v>
      </c>
    </row>
    <row r="365" spans="1:4" hidden="1" x14ac:dyDescent="0.3">
      <c r="A365" s="1">
        <v>363</v>
      </c>
      <c r="B365" t="s">
        <v>218</v>
      </c>
      <c r="C365" s="2">
        <v>44561</v>
      </c>
      <c r="D365">
        <v>5143000</v>
      </c>
    </row>
    <row r="366" spans="1:4" hidden="1" x14ac:dyDescent="0.3">
      <c r="A366" s="1">
        <v>364</v>
      </c>
      <c r="B366" t="s">
        <v>219</v>
      </c>
      <c r="C366" s="2">
        <v>44561</v>
      </c>
      <c r="D366">
        <v>5143000</v>
      </c>
    </row>
    <row r="367" spans="1:4" hidden="1" x14ac:dyDescent="0.3">
      <c r="A367" s="1">
        <v>365</v>
      </c>
      <c r="B367" t="s">
        <v>220</v>
      </c>
      <c r="C367" s="2">
        <v>44561</v>
      </c>
      <c r="D367">
        <v>36268000</v>
      </c>
    </row>
    <row r="368" spans="1:4" hidden="1" x14ac:dyDescent="0.3">
      <c r="A368" s="1">
        <v>366</v>
      </c>
      <c r="B368" t="s">
        <v>221</v>
      </c>
      <c r="C368" s="2">
        <v>44561</v>
      </c>
      <c r="D368">
        <v>8484000</v>
      </c>
    </row>
    <row r="369" spans="1:4" hidden="1" x14ac:dyDescent="0.3">
      <c r="A369" s="1">
        <v>367</v>
      </c>
      <c r="B369" t="s">
        <v>222</v>
      </c>
      <c r="C369" s="2">
        <v>44561</v>
      </c>
      <c r="D369">
        <v>0</v>
      </c>
    </row>
    <row r="370" spans="1:4" hidden="1" x14ac:dyDescent="0.3">
      <c r="A370" s="1">
        <v>368</v>
      </c>
      <c r="B370" t="s">
        <v>223</v>
      </c>
      <c r="C370" s="2">
        <v>44561</v>
      </c>
      <c r="D370">
        <v>2393000</v>
      </c>
    </row>
    <row r="371" spans="1:4" hidden="1" x14ac:dyDescent="0.3">
      <c r="A371" s="1">
        <v>369</v>
      </c>
      <c r="B371" t="s">
        <v>224</v>
      </c>
      <c r="C371" s="2">
        <v>44561</v>
      </c>
    </row>
    <row r="372" spans="1:4" hidden="1" x14ac:dyDescent="0.3">
      <c r="A372" s="1">
        <v>370</v>
      </c>
      <c r="B372" t="s">
        <v>225</v>
      </c>
      <c r="C372" s="2">
        <v>44561</v>
      </c>
      <c r="D372">
        <v>25391000</v>
      </c>
    </row>
    <row r="373" spans="1:4" hidden="1" x14ac:dyDescent="0.3">
      <c r="A373" s="1">
        <v>371</v>
      </c>
      <c r="B373" t="s">
        <v>226</v>
      </c>
      <c r="C373" s="2">
        <v>44561</v>
      </c>
      <c r="D373">
        <v>0</v>
      </c>
    </row>
    <row r="374" spans="1:4" hidden="1" x14ac:dyDescent="0.3">
      <c r="A374" s="1">
        <v>372</v>
      </c>
      <c r="B374" t="s">
        <v>227</v>
      </c>
      <c r="C374" s="2">
        <v>44561</v>
      </c>
      <c r="D374">
        <v>25391000</v>
      </c>
    </row>
    <row r="375" spans="1:4" hidden="1" x14ac:dyDescent="0.3">
      <c r="A375" s="1">
        <v>373</v>
      </c>
      <c r="B375" t="s">
        <v>228</v>
      </c>
      <c r="C375" s="2">
        <v>44561</v>
      </c>
      <c r="D375">
        <v>39314000</v>
      </c>
    </row>
    <row r="376" spans="1:4" hidden="1" x14ac:dyDescent="0.3">
      <c r="A376" s="1">
        <v>374</v>
      </c>
      <c r="B376" t="s">
        <v>229</v>
      </c>
      <c r="C376" s="2">
        <v>44561</v>
      </c>
      <c r="D376">
        <v>0</v>
      </c>
    </row>
    <row r="377" spans="1:4" hidden="1" x14ac:dyDescent="0.3">
      <c r="A377" s="1">
        <v>375</v>
      </c>
      <c r="B377" t="s">
        <v>230</v>
      </c>
      <c r="C377" s="2">
        <v>44561</v>
      </c>
      <c r="D377">
        <v>39314000</v>
      </c>
    </row>
    <row r="378" spans="1:4" x14ac:dyDescent="0.3">
      <c r="A378" s="1">
        <v>376</v>
      </c>
      <c r="B378" t="s">
        <v>137</v>
      </c>
      <c r="C378" s="2">
        <v>44196</v>
      </c>
    </row>
    <row r="379" spans="1:4" x14ac:dyDescent="0.3">
      <c r="A379" s="1">
        <v>377</v>
      </c>
      <c r="B379" t="s">
        <v>138</v>
      </c>
      <c r="C379" s="2">
        <v>44196</v>
      </c>
    </row>
    <row r="380" spans="1:4" hidden="1" x14ac:dyDescent="0.3">
      <c r="A380" s="1">
        <v>378</v>
      </c>
      <c r="B380" t="s">
        <v>139</v>
      </c>
      <c r="C380" s="2">
        <v>44196</v>
      </c>
    </row>
    <row r="381" spans="1:4" hidden="1" x14ac:dyDescent="0.3">
      <c r="A381" s="1">
        <v>379</v>
      </c>
      <c r="B381" t="s">
        <v>140</v>
      </c>
      <c r="C381" s="2">
        <v>44196</v>
      </c>
    </row>
    <row r="382" spans="1:4" hidden="1" x14ac:dyDescent="0.3">
      <c r="A382" s="1">
        <v>380</v>
      </c>
      <c r="B382" t="s">
        <v>141</v>
      </c>
      <c r="C382" s="2">
        <v>44196</v>
      </c>
    </row>
    <row r="383" spans="1:4" hidden="1" x14ac:dyDescent="0.3">
      <c r="A383" s="1">
        <v>381</v>
      </c>
      <c r="B383" t="s">
        <v>142</v>
      </c>
      <c r="C383" s="2">
        <v>44196</v>
      </c>
    </row>
    <row r="384" spans="1:4" hidden="1" x14ac:dyDescent="0.3">
      <c r="A384" s="1">
        <v>382</v>
      </c>
      <c r="B384" t="s">
        <v>143</v>
      </c>
      <c r="C384" s="2">
        <v>44196</v>
      </c>
    </row>
    <row r="385" spans="1:3" hidden="1" x14ac:dyDescent="0.3">
      <c r="A385" s="1">
        <v>383</v>
      </c>
      <c r="B385" t="s">
        <v>144</v>
      </c>
      <c r="C385" s="2">
        <v>44196</v>
      </c>
    </row>
    <row r="386" spans="1:3" hidden="1" x14ac:dyDescent="0.3">
      <c r="A386" s="1">
        <v>384</v>
      </c>
      <c r="B386" t="s">
        <v>145</v>
      </c>
      <c r="C386" s="2">
        <v>44196</v>
      </c>
    </row>
    <row r="387" spans="1:3" hidden="1" x14ac:dyDescent="0.3">
      <c r="A387" s="1">
        <v>385</v>
      </c>
      <c r="B387" t="s">
        <v>146</v>
      </c>
      <c r="C387" s="2">
        <v>44196</v>
      </c>
    </row>
    <row r="388" spans="1:3" hidden="1" x14ac:dyDescent="0.3">
      <c r="A388" s="1">
        <v>386</v>
      </c>
      <c r="B388" t="s">
        <v>147</v>
      </c>
      <c r="C388" s="2">
        <v>44196</v>
      </c>
    </row>
    <row r="389" spans="1:3" hidden="1" x14ac:dyDescent="0.3">
      <c r="A389" s="1">
        <v>387</v>
      </c>
      <c r="B389" t="s">
        <v>148</v>
      </c>
      <c r="C389" s="2">
        <v>44196</v>
      </c>
    </row>
    <row r="390" spans="1:3" hidden="1" x14ac:dyDescent="0.3">
      <c r="A390" s="1">
        <v>388</v>
      </c>
      <c r="B390" t="s">
        <v>149</v>
      </c>
      <c r="C390" s="2">
        <v>44196</v>
      </c>
    </row>
    <row r="391" spans="1:3" hidden="1" x14ac:dyDescent="0.3">
      <c r="A391" s="1">
        <v>389</v>
      </c>
      <c r="B391" t="s">
        <v>150</v>
      </c>
      <c r="C391" s="2">
        <v>44196</v>
      </c>
    </row>
    <row r="392" spans="1:3" hidden="1" x14ac:dyDescent="0.3">
      <c r="A392" s="1">
        <v>390</v>
      </c>
      <c r="B392" t="s">
        <v>151</v>
      </c>
      <c r="C392" s="2">
        <v>44196</v>
      </c>
    </row>
    <row r="393" spans="1:3" hidden="1" x14ac:dyDescent="0.3">
      <c r="A393" s="1">
        <v>391</v>
      </c>
      <c r="B393" t="s">
        <v>152</v>
      </c>
      <c r="C393" s="2">
        <v>44196</v>
      </c>
    </row>
    <row r="394" spans="1:3" hidden="1" x14ac:dyDescent="0.3">
      <c r="A394" s="1">
        <v>392</v>
      </c>
      <c r="B394" t="s">
        <v>153</v>
      </c>
      <c r="C394" s="2">
        <v>44196</v>
      </c>
    </row>
    <row r="395" spans="1:3" hidden="1" x14ac:dyDescent="0.3">
      <c r="A395" s="1">
        <v>393</v>
      </c>
      <c r="B395" t="s">
        <v>154</v>
      </c>
      <c r="C395" s="2">
        <v>44196</v>
      </c>
    </row>
    <row r="396" spans="1:3" hidden="1" x14ac:dyDescent="0.3">
      <c r="A396" s="1">
        <v>394</v>
      </c>
      <c r="B396" t="s">
        <v>155</v>
      </c>
      <c r="C396" s="2">
        <v>44196</v>
      </c>
    </row>
    <row r="397" spans="1:3" hidden="1" x14ac:dyDescent="0.3">
      <c r="A397" s="1">
        <v>395</v>
      </c>
      <c r="B397" t="s">
        <v>156</v>
      </c>
      <c r="C397" s="2">
        <v>44196</v>
      </c>
    </row>
    <row r="398" spans="1:3" hidden="1" x14ac:dyDescent="0.3">
      <c r="A398" s="1">
        <v>396</v>
      </c>
      <c r="B398" t="s">
        <v>157</v>
      </c>
      <c r="C398" s="2">
        <v>44196</v>
      </c>
    </row>
    <row r="399" spans="1:3" hidden="1" x14ac:dyDescent="0.3">
      <c r="A399" s="1">
        <v>397</v>
      </c>
      <c r="B399" t="s">
        <v>158</v>
      </c>
      <c r="C399" s="2">
        <v>44196</v>
      </c>
    </row>
    <row r="400" spans="1:3" hidden="1" x14ac:dyDescent="0.3">
      <c r="A400" s="1">
        <v>398</v>
      </c>
      <c r="B400" t="s">
        <v>159</v>
      </c>
      <c r="C400" s="2">
        <v>44196</v>
      </c>
    </row>
    <row r="401" spans="1:4" hidden="1" x14ac:dyDescent="0.3">
      <c r="A401" s="1">
        <v>399</v>
      </c>
      <c r="B401" t="s">
        <v>160</v>
      </c>
      <c r="C401" s="2">
        <v>44196</v>
      </c>
    </row>
    <row r="402" spans="1:4" hidden="1" x14ac:dyDescent="0.3">
      <c r="A402" s="1">
        <v>400</v>
      </c>
      <c r="B402" t="s">
        <v>161</v>
      </c>
      <c r="C402" s="2">
        <v>44196</v>
      </c>
      <c r="D402">
        <v>23774000</v>
      </c>
    </row>
    <row r="403" spans="1:4" hidden="1" x14ac:dyDescent="0.3">
      <c r="A403" s="1">
        <v>401</v>
      </c>
      <c r="B403" t="s">
        <v>162</v>
      </c>
      <c r="C403" s="2">
        <v>44196</v>
      </c>
      <c r="D403">
        <v>49170000</v>
      </c>
    </row>
    <row r="404" spans="1:4" hidden="1" x14ac:dyDescent="0.3">
      <c r="A404" s="1">
        <v>402</v>
      </c>
      <c r="B404" t="s">
        <v>163</v>
      </c>
      <c r="C404" s="2">
        <v>44196</v>
      </c>
    </row>
    <row r="405" spans="1:4" hidden="1" x14ac:dyDescent="0.3">
      <c r="A405" s="1">
        <v>403</v>
      </c>
      <c r="B405" t="s">
        <v>164</v>
      </c>
      <c r="C405" s="2">
        <v>44196</v>
      </c>
    </row>
    <row r="406" spans="1:4" hidden="1" x14ac:dyDescent="0.3">
      <c r="A406" s="1">
        <v>404</v>
      </c>
      <c r="B406" t="s">
        <v>165</v>
      </c>
      <c r="C406" s="2">
        <v>44196</v>
      </c>
    </row>
    <row r="407" spans="1:4" hidden="1" x14ac:dyDescent="0.3">
      <c r="A407" s="1">
        <v>405</v>
      </c>
      <c r="B407" t="s">
        <v>166</v>
      </c>
      <c r="C407" s="2">
        <v>44196</v>
      </c>
    </row>
    <row r="408" spans="1:4" hidden="1" x14ac:dyDescent="0.3">
      <c r="A408" s="1">
        <v>406</v>
      </c>
      <c r="B408" t="s">
        <v>167</v>
      </c>
      <c r="C408" s="2">
        <v>44196</v>
      </c>
      <c r="D408">
        <v>1096000</v>
      </c>
    </row>
    <row r="409" spans="1:4" hidden="1" x14ac:dyDescent="0.3">
      <c r="A409" s="1">
        <v>407</v>
      </c>
      <c r="B409" t="s">
        <v>168</v>
      </c>
      <c r="C409" s="2">
        <v>44196</v>
      </c>
    </row>
    <row r="410" spans="1:4" hidden="1" x14ac:dyDescent="0.3">
      <c r="A410" s="1">
        <v>408</v>
      </c>
      <c r="B410" t="s">
        <v>169</v>
      </c>
      <c r="C410" s="2">
        <v>44196</v>
      </c>
    </row>
    <row r="411" spans="1:4" hidden="1" x14ac:dyDescent="0.3">
      <c r="A411" s="1">
        <v>409</v>
      </c>
      <c r="B411" t="s">
        <v>170</v>
      </c>
      <c r="C411" s="2">
        <v>44196</v>
      </c>
    </row>
    <row r="412" spans="1:4" hidden="1" x14ac:dyDescent="0.3">
      <c r="A412" s="1">
        <v>410</v>
      </c>
      <c r="B412" t="s">
        <v>171</v>
      </c>
      <c r="C412" s="2">
        <v>44196</v>
      </c>
    </row>
    <row r="413" spans="1:4" hidden="1" x14ac:dyDescent="0.3">
      <c r="A413" s="1">
        <v>411</v>
      </c>
      <c r="B413" t="s">
        <v>172</v>
      </c>
      <c r="C413" s="2">
        <v>44196</v>
      </c>
    </row>
    <row r="414" spans="1:4" hidden="1" x14ac:dyDescent="0.3">
      <c r="A414" s="1">
        <v>412</v>
      </c>
      <c r="B414" t="s">
        <v>173</v>
      </c>
      <c r="C414" s="2">
        <v>44196</v>
      </c>
    </row>
    <row r="415" spans="1:4" hidden="1" x14ac:dyDescent="0.3">
      <c r="A415" s="1">
        <v>413</v>
      </c>
      <c r="B415" t="s">
        <v>174</v>
      </c>
      <c r="C415" s="2">
        <v>44196</v>
      </c>
    </row>
    <row r="416" spans="1:4" hidden="1" x14ac:dyDescent="0.3">
      <c r="A416" s="1">
        <v>414</v>
      </c>
      <c r="B416" t="s">
        <v>175</v>
      </c>
      <c r="C416" s="2">
        <v>44196</v>
      </c>
    </row>
    <row r="417" spans="1:4" hidden="1" x14ac:dyDescent="0.3">
      <c r="A417" s="1">
        <v>415</v>
      </c>
      <c r="B417" t="s">
        <v>176</v>
      </c>
      <c r="C417" s="2">
        <v>44196</v>
      </c>
    </row>
    <row r="418" spans="1:4" hidden="1" x14ac:dyDescent="0.3">
      <c r="A418" s="1">
        <v>416</v>
      </c>
      <c r="B418" t="s">
        <v>177</v>
      </c>
      <c r="C418" s="2">
        <v>44196</v>
      </c>
    </row>
    <row r="419" spans="1:4" hidden="1" x14ac:dyDescent="0.3">
      <c r="A419" s="1">
        <v>417</v>
      </c>
      <c r="B419" t="s">
        <v>178</v>
      </c>
      <c r="C419" s="2">
        <v>44196</v>
      </c>
    </row>
    <row r="420" spans="1:4" hidden="1" x14ac:dyDescent="0.3">
      <c r="A420" s="1">
        <v>418</v>
      </c>
      <c r="B420" t="s">
        <v>179</v>
      </c>
      <c r="C420" s="2">
        <v>44196</v>
      </c>
    </row>
    <row r="421" spans="1:4" hidden="1" x14ac:dyDescent="0.3">
      <c r="A421" s="1">
        <v>419</v>
      </c>
      <c r="B421" t="s">
        <v>180</v>
      </c>
      <c r="C421" s="2">
        <v>44196</v>
      </c>
      <c r="D421">
        <v>10082000</v>
      </c>
    </row>
    <row r="422" spans="1:4" hidden="1" x14ac:dyDescent="0.3">
      <c r="A422" s="1">
        <v>420</v>
      </c>
      <c r="B422" t="s">
        <v>181</v>
      </c>
      <c r="C422" s="2">
        <v>44196</v>
      </c>
    </row>
    <row r="423" spans="1:4" hidden="1" x14ac:dyDescent="0.3">
      <c r="A423" s="1">
        <v>421</v>
      </c>
      <c r="B423" t="s">
        <v>182</v>
      </c>
      <c r="C423" s="2">
        <v>44196</v>
      </c>
    </row>
    <row r="424" spans="1:4" hidden="1" x14ac:dyDescent="0.3">
      <c r="A424" s="1">
        <v>422</v>
      </c>
      <c r="B424" t="s">
        <v>183</v>
      </c>
      <c r="C424" s="2">
        <v>44196</v>
      </c>
    </row>
    <row r="425" spans="1:4" hidden="1" x14ac:dyDescent="0.3">
      <c r="A425" s="1">
        <v>423</v>
      </c>
      <c r="B425" t="s">
        <v>184</v>
      </c>
      <c r="C425" s="2">
        <v>44196</v>
      </c>
    </row>
    <row r="426" spans="1:4" hidden="1" x14ac:dyDescent="0.3">
      <c r="A426" s="1">
        <v>424</v>
      </c>
      <c r="B426" t="s">
        <v>185</v>
      </c>
      <c r="C426" s="2">
        <v>44196</v>
      </c>
    </row>
    <row r="427" spans="1:4" hidden="1" x14ac:dyDescent="0.3">
      <c r="A427" s="1">
        <v>425</v>
      </c>
      <c r="B427" t="s">
        <v>186</v>
      </c>
      <c r="C427" s="2">
        <v>44196</v>
      </c>
    </row>
    <row r="428" spans="1:4" hidden="1" x14ac:dyDescent="0.3">
      <c r="A428" s="1">
        <v>426</v>
      </c>
      <c r="B428" t="s">
        <v>187</v>
      </c>
      <c r="C428" s="2">
        <v>44196</v>
      </c>
    </row>
    <row r="429" spans="1:4" hidden="1" x14ac:dyDescent="0.3">
      <c r="A429" s="1">
        <v>427</v>
      </c>
      <c r="B429" t="s">
        <v>188</v>
      </c>
      <c r="C429" s="2">
        <v>44196</v>
      </c>
    </row>
    <row r="430" spans="1:4" hidden="1" x14ac:dyDescent="0.3">
      <c r="A430" s="1">
        <v>428</v>
      </c>
      <c r="B430" t="s">
        <v>189</v>
      </c>
      <c r="C430" s="2">
        <v>44196</v>
      </c>
    </row>
    <row r="431" spans="1:4" hidden="1" x14ac:dyDescent="0.3">
      <c r="A431" s="1">
        <v>429</v>
      </c>
      <c r="B431" t="s">
        <v>190</v>
      </c>
      <c r="C431" s="2">
        <v>44196</v>
      </c>
    </row>
    <row r="432" spans="1:4" hidden="1" x14ac:dyDescent="0.3">
      <c r="A432" s="1">
        <v>430</v>
      </c>
      <c r="B432" t="s">
        <v>191</v>
      </c>
      <c r="C432" s="2">
        <v>44196</v>
      </c>
      <c r="D432">
        <v>0</v>
      </c>
    </row>
    <row r="433" spans="1:4" hidden="1" x14ac:dyDescent="0.3">
      <c r="A433" s="1">
        <v>431</v>
      </c>
      <c r="B433" t="s">
        <v>192</v>
      </c>
      <c r="C433" s="2">
        <v>44196</v>
      </c>
    </row>
    <row r="434" spans="1:4" hidden="1" x14ac:dyDescent="0.3">
      <c r="A434" s="1">
        <v>432</v>
      </c>
      <c r="B434" t="s">
        <v>193</v>
      </c>
      <c r="C434" s="2">
        <v>44196</v>
      </c>
    </row>
    <row r="435" spans="1:4" hidden="1" x14ac:dyDescent="0.3">
      <c r="A435" s="1">
        <v>433</v>
      </c>
      <c r="B435" t="s">
        <v>194</v>
      </c>
      <c r="C435" s="2">
        <v>44196</v>
      </c>
    </row>
    <row r="436" spans="1:4" hidden="1" x14ac:dyDescent="0.3">
      <c r="A436" s="1">
        <v>434</v>
      </c>
      <c r="B436" t="s">
        <v>195</v>
      </c>
      <c r="C436" s="2">
        <v>44196</v>
      </c>
    </row>
    <row r="437" spans="1:4" hidden="1" x14ac:dyDescent="0.3">
      <c r="A437" s="1">
        <v>435</v>
      </c>
      <c r="B437" t="s">
        <v>196</v>
      </c>
      <c r="C437" s="2">
        <v>44196</v>
      </c>
      <c r="D437">
        <v>25573000</v>
      </c>
    </row>
    <row r="438" spans="1:4" hidden="1" x14ac:dyDescent="0.3">
      <c r="A438" s="1">
        <v>436</v>
      </c>
      <c r="B438" t="s">
        <v>197</v>
      </c>
      <c r="C438" s="2">
        <v>44196</v>
      </c>
    </row>
    <row r="439" spans="1:4" hidden="1" x14ac:dyDescent="0.3">
      <c r="A439" s="1">
        <v>437</v>
      </c>
      <c r="B439" t="s">
        <v>198</v>
      </c>
      <c r="C439" s="2">
        <v>44196</v>
      </c>
    </row>
    <row r="440" spans="1:4" hidden="1" x14ac:dyDescent="0.3">
      <c r="A440" s="1">
        <v>438</v>
      </c>
      <c r="B440" t="s">
        <v>199</v>
      </c>
      <c r="C440" s="2">
        <v>44196</v>
      </c>
    </row>
    <row r="441" spans="1:4" hidden="1" x14ac:dyDescent="0.3">
      <c r="A441" s="1">
        <v>439</v>
      </c>
      <c r="B441" t="s">
        <v>200</v>
      </c>
      <c r="C441" s="2">
        <v>44196</v>
      </c>
    </row>
    <row r="442" spans="1:4" hidden="1" x14ac:dyDescent="0.3">
      <c r="A442" s="1">
        <v>440</v>
      </c>
      <c r="B442" t="s">
        <v>201</v>
      </c>
      <c r="C442" s="2">
        <v>44196</v>
      </c>
    </row>
    <row r="443" spans="1:4" hidden="1" x14ac:dyDescent="0.3">
      <c r="A443" s="1">
        <v>441</v>
      </c>
      <c r="B443" t="s">
        <v>202</v>
      </c>
      <c r="C443" s="2">
        <v>44196</v>
      </c>
    </row>
    <row r="444" spans="1:4" hidden="1" x14ac:dyDescent="0.3">
      <c r="A444" s="1">
        <v>442</v>
      </c>
      <c r="B444" t="s">
        <v>203</v>
      </c>
      <c r="C444" s="2">
        <v>44196</v>
      </c>
    </row>
    <row r="445" spans="1:4" hidden="1" x14ac:dyDescent="0.3">
      <c r="A445" s="1">
        <v>443</v>
      </c>
      <c r="B445" t="s">
        <v>204</v>
      </c>
      <c r="C445" s="2">
        <v>44196</v>
      </c>
    </row>
    <row r="446" spans="1:4" hidden="1" x14ac:dyDescent="0.3">
      <c r="A446" s="1">
        <v>444</v>
      </c>
      <c r="B446" t="s">
        <v>205</v>
      </c>
      <c r="C446" s="2">
        <v>44196</v>
      </c>
    </row>
    <row r="447" spans="1:4" hidden="1" x14ac:dyDescent="0.3">
      <c r="A447" s="1">
        <v>445</v>
      </c>
      <c r="B447" t="s">
        <v>206</v>
      </c>
      <c r="C447" s="2">
        <v>44196</v>
      </c>
    </row>
    <row r="448" spans="1:4" hidden="1" x14ac:dyDescent="0.3">
      <c r="A448" s="1">
        <v>446</v>
      </c>
      <c r="B448" t="s">
        <v>207</v>
      </c>
      <c r="C448" s="2">
        <v>44196</v>
      </c>
    </row>
    <row r="449" spans="1:4" hidden="1" x14ac:dyDescent="0.3">
      <c r="A449" s="1">
        <v>447</v>
      </c>
      <c r="B449" t="s">
        <v>208</v>
      </c>
      <c r="C449" s="2">
        <v>44196</v>
      </c>
    </row>
    <row r="450" spans="1:4" hidden="1" x14ac:dyDescent="0.3">
      <c r="A450" s="1">
        <v>448</v>
      </c>
      <c r="B450" t="s">
        <v>209</v>
      </c>
      <c r="C450" s="2">
        <v>44196</v>
      </c>
    </row>
    <row r="451" spans="1:4" hidden="1" x14ac:dyDescent="0.3">
      <c r="A451" s="1">
        <v>449</v>
      </c>
      <c r="B451" t="s">
        <v>210</v>
      </c>
      <c r="C451" s="2">
        <v>44196</v>
      </c>
    </row>
    <row r="452" spans="1:4" hidden="1" x14ac:dyDescent="0.3">
      <c r="A452" s="1">
        <v>450</v>
      </c>
      <c r="B452" t="s">
        <v>211</v>
      </c>
      <c r="C452" s="2">
        <v>44196</v>
      </c>
    </row>
    <row r="453" spans="1:4" hidden="1" x14ac:dyDescent="0.3">
      <c r="A453" s="1">
        <v>451</v>
      </c>
      <c r="B453" t="s">
        <v>212</v>
      </c>
      <c r="C453" s="2">
        <v>44196</v>
      </c>
    </row>
    <row r="454" spans="1:4" hidden="1" x14ac:dyDescent="0.3">
      <c r="A454" s="1">
        <v>452</v>
      </c>
      <c r="B454" t="s">
        <v>213</v>
      </c>
      <c r="C454" s="2">
        <v>44196</v>
      </c>
    </row>
    <row r="455" spans="1:4" hidden="1" x14ac:dyDescent="0.3">
      <c r="A455" s="1">
        <v>453</v>
      </c>
      <c r="B455" t="s">
        <v>214</v>
      </c>
      <c r="C455" s="2">
        <v>44196</v>
      </c>
    </row>
    <row r="456" spans="1:4" hidden="1" x14ac:dyDescent="0.3">
      <c r="A456" s="1">
        <v>454</v>
      </c>
      <c r="B456" t="s">
        <v>215</v>
      </c>
      <c r="C456" s="2">
        <v>44196</v>
      </c>
    </row>
    <row r="457" spans="1:4" hidden="1" x14ac:dyDescent="0.3">
      <c r="A457" s="1">
        <v>455</v>
      </c>
      <c r="B457" t="s">
        <v>216</v>
      </c>
      <c r="C457" s="2">
        <v>44196</v>
      </c>
      <c r="D457">
        <v>2981000</v>
      </c>
    </row>
    <row r="458" spans="1:4" hidden="1" x14ac:dyDescent="0.3">
      <c r="A458" s="1">
        <v>456</v>
      </c>
      <c r="B458" t="s">
        <v>217</v>
      </c>
      <c r="C458" s="2">
        <v>44196</v>
      </c>
    </row>
    <row r="459" spans="1:4" hidden="1" x14ac:dyDescent="0.3">
      <c r="A459" s="1">
        <v>457</v>
      </c>
      <c r="B459" t="s">
        <v>218</v>
      </c>
      <c r="C459" s="2">
        <v>44196</v>
      </c>
      <c r="D459">
        <v>4244000</v>
      </c>
    </row>
    <row r="460" spans="1:4" hidden="1" x14ac:dyDescent="0.3">
      <c r="A460" s="1">
        <v>458</v>
      </c>
      <c r="B460" t="s">
        <v>219</v>
      </c>
      <c r="C460" s="2">
        <v>44196</v>
      </c>
      <c r="D460">
        <v>4244000</v>
      </c>
    </row>
    <row r="461" spans="1:4" hidden="1" x14ac:dyDescent="0.3">
      <c r="A461" s="1">
        <v>459</v>
      </c>
      <c r="B461" t="s">
        <v>220</v>
      </c>
      <c r="C461" s="2">
        <v>44196</v>
      </c>
    </row>
    <row r="462" spans="1:4" hidden="1" x14ac:dyDescent="0.3">
      <c r="A462" s="1">
        <v>460</v>
      </c>
      <c r="B462" t="s">
        <v>221</v>
      </c>
      <c r="C462" s="2">
        <v>44196</v>
      </c>
      <c r="D462">
        <v>5524000</v>
      </c>
    </row>
    <row r="463" spans="1:4" hidden="1" x14ac:dyDescent="0.3">
      <c r="A463" s="1">
        <v>461</v>
      </c>
      <c r="B463" t="s">
        <v>222</v>
      </c>
      <c r="C463" s="2">
        <v>44196</v>
      </c>
    </row>
    <row r="464" spans="1:4" hidden="1" x14ac:dyDescent="0.3">
      <c r="A464" s="1">
        <v>462</v>
      </c>
      <c r="B464" t="s">
        <v>223</v>
      </c>
      <c r="C464" s="2">
        <v>44196</v>
      </c>
    </row>
    <row r="465" spans="1:4" hidden="1" x14ac:dyDescent="0.3">
      <c r="A465" s="1">
        <v>463</v>
      </c>
      <c r="B465" t="s">
        <v>224</v>
      </c>
      <c r="C465" s="2">
        <v>44196</v>
      </c>
    </row>
    <row r="466" spans="1:4" hidden="1" x14ac:dyDescent="0.3">
      <c r="A466" s="1">
        <v>464</v>
      </c>
      <c r="B466" t="s">
        <v>225</v>
      </c>
      <c r="C466" s="2">
        <v>44196</v>
      </c>
    </row>
    <row r="467" spans="1:4" hidden="1" x14ac:dyDescent="0.3">
      <c r="A467" s="1">
        <v>465</v>
      </c>
      <c r="B467" t="s">
        <v>226</v>
      </c>
      <c r="C467" s="2">
        <v>44196</v>
      </c>
      <c r="D467">
        <v>0</v>
      </c>
    </row>
    <row r="468" spans="1:4" hidden="1" x14ac:dyDescent="0.3">
      <c r="A468" s="1">
        <v>466</v>
      </c>
      <c r="B468" t="s">
        <v>227</v>
      </c>
      <c r="C468" s="2">
        <v>44196</v>
      </c>
      <c r="D468">
        <v>22002000</v>
      </c>
    </row>
    <row r="469" spans="1:4" hidden="1" x14ac:dyDescent="0.3">
      <c r="A469" s="1">
        <v>467</v>
      </c>
      <c r="B469" t="s">
        <v>228</v>
      </c>
      <c r="C469" s="2">
        <v>44196</v>
      </c>
    </row>
    <row r="470" spans="1:4" hidden="1" x14ac:dyDescent="0.3">
      <c r="A470" s="1">
        <v>468</v>
      </c>
      <c r="B470" t="s">
        <v>229</v>
      </c>
      <c r="C470" s="2">
        <v>44196</v>
      </c>
    </row>
    <row r="471" spans="1:4" hidden="1" x14ac:dyDescent="0.3">
      <c r="A471" s="1">
        <v>469</v>
      </c>
      <c r="B471" t="s">
        <v>230</v>
      </c>
      <c r="C471" s="2">
        <v>44196</v>
      </c>
    </row>
  </sheetData>
  <autoFilter ref="A1:D471" xr:uid="{00000000-0001-0000-0200-000000000000}">
    <filterColumn colId="1">
      <filters>
        <filter val="Ordinary Shares Number"/>
        <filter val="Treasury Shares Numb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</vt:lpstr>
      <vt:lpstr>Income Statement</vt:lpstr>
      <vt:lpstr>Cash Flow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Johnson</cp:lastModifiedBy>
  <dcterms:created xsi:type="dcterms:W3CDTF">2025-11-13T23:13:29Z</dcterms:created>
  <dcterms:modified xsi:type="dcterms:W3CDTF">2025-11-16T21:24:31Z</dcterms:modified>
</cp:coreProperties>
</file>
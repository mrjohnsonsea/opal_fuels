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iker\Desktop\"/>
    </mc:Choice>
  </mc:AlternateContent>
  <xr:revisionPtr revIDLastSave="0" documentId="13_ncr:1_{9DF72B99-9C7E-4055-B9FD-B3CCBAB797F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CF Model" sheetId="1" r:id="rId1"/>
  </sheets>
  <calcPr calcId="191029" iterate="1" iterateCount="1000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1" l="1"/>
  <c r="B58" i="1"/>
  <c r="B59" i="1"/>
  <c r="G27" i="1"/>
  <c r="F27" i="1"/>
  <c r="E27" i="1"/>
  <c r="D27" i="1"/>
  <c r="B28" i="1"/>
  <c r="G38" i="1"/>
  <c r="F38" i="1"/>
  <c r="E38" i="1"/>
  <c r="D38" i="1"/>
  <c r="C38" i="1"/>
  <c r="C40" i="1" s="1"/>
  <c r="G36" i="1"/>
  <c r="F36" i="1"/>
  <c r="E36" i="1"/>
  <c r="D36" i="1"/>
  <c r="C36" i="1"/>
  <c r="B15" i="1"/>
  <c r="B66" i="1" s="1"/>
  <c r="C71" i="1"/>
  <c r="B71" i="1"/>
  <c r="C69" i="1"/>
  <c r="B69" i="1"/>
  <c r="C66" i="1" l="1"/>
  <c r="C67" i="1" l="1"/>
  <c r="B67" i="1"/>
  <c r="G44" i="1"/>
  <c r="B60" i="1" s="1"/>
  <c r="F44" i="1"/>
  <c r="E44" i="1"/>
  <c r="D44" i="1"/>
  <c r="B37" i="1"/>
  <c r="G35" i="1"/>
  <c r="F35" i="1"/>
  <c r="E35" i="1"/>
  <c r="D35" i="1"/>
  <c r="B35" i="1"/>
  <c r="B29" i="1"/>
  <c r="B32" i="1" s="1"/>
  <c r="C25" i="1"/>
  <c r="B25" i="1"/>
  <c r="G22" i="1"/>
  <c r="F22" i="1"/>
  <c r="E22" i="1"/>
  <c r="D22" i="1"/>
  <c r="C22" i="1"/>
  <c r="B33" i="1" l="1"/>
  <c r="E40" i="1"/>
  <c r="F40" i="1"/>
  <c r="D40" i="1"/>
  <c r="G40" i="1"/>
  <c r="D24" i="1" l="1"/>
  <c r="D29" i="1" s="1"/>
  <c r="D32" i="1" l="1"/>
  <c r="D33" i="1" s="1"/>
  <c r="D42" i="1" s="1"/>
  <c r="D45" i="1" s="1"/>
  <c r="E24" i="1"/>
  <c r="E29" i="1" s="1"/>
  <c r="E32" i="1" s="1"/>
  <c r="E33" i="1" l="1"/>
  <c r="E42" i="1" s="1"/>
  <c r="E45" i="1" s="1"/>
  <c r="G24" i="1"/>
  <c r="G29" i="1"/>
  <c r="G32" i="1" l="1"/>
  <c r="G33" i="1" s="1"/>
  <c r="G42" i="1" s="1"/>
  <c r="G45" i="1" l="1"/>
  <c r="B52" i="1"/>
  <c r="B53" i="1" s="1"/>
  <c r="B54" i="1" s="1"/>
  <c r="B55" i="1" s="1"/>
  <c r="C27" i="1"/>
  <c r="C35" i="1" s="1"/>
  <c r="C29" i="1" l="1"/>
  <c r="C32" i="1"/>
  <c r="C33" i="1" s="1"/>
  <c r="C42" i="1" s="1"/>
  <c r="C45" i="1" s="1"/>
  <c r="F24" i="1"/>
  <c r="F25" i="1"/>
  <c r="F29" i="1"/>
  <c r="F32" i="1"/>
  <c r="F33" i="1"/>
  <c r="F42" i="1"/>
  <c r="F45" i="1"/>
  <c r="B47" i="1"/>
  <c r="B65" i="1"/>
  <c r="C65" i="1"/>
  <c r="B68" i="1"/>
  <c r="C68" i="1"/>
  <c r="B70" i="1"/>
  <c r="C70" i="1"/>
  <c r="B72" i="1"/>
  <c r="C72" i="1"/>
</calcChain>
</file>

<file path=xl/sharedStrings.xml><?xml version="1.0" encoding="utf-8"?>
<sst xmlns="http://schemas.openxmlformats.org/spreadsheetml/2006/main" count="73" uniqueCount="65">
  <si>
    <t>OPAL Fuels Inc.</t>
  </si>
  <si>
    <t>As of: November 16, 2025</t>
  </si>
  <si>
    <t>KEY ASSUMPTIONS</t>
  </si>
  <si>
    <t>Discount Rate (WACC)</t>
  </si>
  <si>
    <t>Terminal Growth Rate</t>
  </si>
  <si>
    <t>Terminal EV/EBITDA Multiple</t>
  </si>
  <si>
    <t>Current Stock Price</t>
  </si>
  <si>
    <t>Shares Outstanding (000s)</t>
  </si>
  <si>
    <t>BALANCE SHEET ITEMS (2024)</t>
  </si>
  <si>
    <t>Cash</t>
  </si>
  <si>
    <t>Total Debt</t>
  </si>
  <si>
    <t>Net Debt</t>
  </si>
  <si>
    <t>FINANCIAL PROJECTIONS ($ in thousands)</t>
  </si>
  <si>
    <t>ACTUAL</t>
  </si>
  <si>
    <t>FORECAST</t>
  </si>
  <si>
    <t>Notes</t>
  </si>
  <si>
    <t>Total Revenue</t>
  </si>
  <si>
    <t xml:space="preserve">  % Growth</t>
  </si>
  <si>
    <t>Adjusted EBITDA</t>
  </si>
  <si>
    <t>Management guidance + forecast</t>
  </si>
  <si>
    <t xml:space="preserve">  EBITDA Margin %</t>
  </si>
  <si>
    <t>Depreciation &amp; Amortization</t>
  </si>
  <si>
    <t>EBIT</t>
  </si>
  <si>
    <t>Tax Rate</t>
  </si>
  <si>
    <t>Using NOLs through 2027</t>
  </si>
  <si>
    <t>Taxes on EBIT</t>
  </si>
  <si>
    <t>NOPAT (EBIT after tax)</t>
  </si>
  <si>
    <t>Add: Depreciation &amp; Amort.</t>
  </si>
  <si>
    <t>Less: Capital Expenditures</t>
  </si>
  <si>
    <t xml:space="preserve">  % of Revenue</t>
  </si>
  <si>
    <t>Net Working Capital</t>
  </si>
  <si>
    <t>-13% then -12% of revenue</t>
  </si>
  <si>
    <t>Less: Change in NWC</t>
  </si>
  <si>
    <t>UNLEVERED FREE CASH FLOW</t>
  </si>
  <si>
    <t>Discount Period</t>
  </si>
  <si>
    <t>Discount Factor</t>
  </si>
  <si>
    <t>PV of Free Cash Flow</t>
  </si>
  <si>
    <t>Sum of PV of FCFs (2025-2029)</t>
  </si>
  <si>
    <t>TERMINAL VALUE CALCULATION</t>
  </si>
  <si>
    <t>Method 1: Perpetual Growth Method</t>
  </si>
  <si>
    <t xml:space="preserve">  2029 Free Cash Flow</t>
  </si>
  <si>
    <t xml:space="preserve">  Terminal FCF (2030)</t>
  </si>
  <si>
    <t xml:space="preserve">  Terminal Value (2029)</t>
  </si>
  <si>
    <t xml:space="preserve">  PV of Terminal Value</t>
  </si>
  <si>
    <t>Method 2: EV/EBITDA Exit Multiple</t>
  </si>
  <si>
    <t xml:space="preserve">  2029 Adjusted EBITDA</t>
  </si>
  <si>
    <t>VALUATION SUMMARY</t>
  </si>
  <si>
    <t>Perpetual Growth</t>
  </si>
  <si>
    <t>Exit Multiple</t>
  </si>
  <si>
    <t>Enterprise Value</t>
  </si>
  <si>
    <t>Less: Net Debt</t>
  </si>
  <si>
    <t>Equity Value (Common Stock)</t>
  </si>
  <si>
    <t>Value per Share</t>
  </si>
  <si>
    <t>Upside / (Downside)</t>
  </si>
  <si>
    <t>KEY NOTES &amp; ASSUMPTIONS</t>
  </si>
  <si>
    <t>2. 2025 based on management guidance of $90-110M Adjusted EBITDA</t>
  </si>
  <si>
    <t>Decrease as projects complete</t>
  </si>
  <si>
    <t>% will go down as they scale</t>
  </si>
  <si>
    <t>DCF Valuation Model</t>
  </si>
  <si>
    <t>4. Tax rate 0% through 2027 (using NOLs), then 10% and 25%</t>
  </si>
  <si>
    <t>5. CapEx declines from 35% to 20% of revenue (growth to maintenance mode)</t>
  </si>
  <si>
    <t>1. Using Adjusted EBITDA (not True EBITDA). Company uses an adjusted metric.</t>
  </si>
  <si>
    <t>3. Margins expand 27% → 35% as virtual pipeline costs end and projects mature</t>
  </si>
  <si>
    <t>Less: Mintority Interest</t>
  </si>
  <si>
    <t>Minority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</si>
</sst>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\$#,##0.00"/>
    <numFmt numFmtId="166" formatCode="0.0000"/>
  </numFmts>
  <fonts count="17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4"/>
      <name val="Calibri"/>
      <family val="2"/>
    </font>
    <font>
      <i/>
      <sz val="10"/>
      <name val="Calibri"/>
      <family val="2"/>
    </font>
    <font>
      <b/>
      <sz val="11"/>
      <color rgb="FFFFFFFF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2"/>
      <color rgb="FFFFFFFF"/>
      <name val="Calibri"/>
      <family val="2"/>
    </font>
    <font>
      <b/>
      <sz val="11"/>
      <color rgb="FFC00000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B4C7E7"/>
        <bgColor rgb="FFB4C7E7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0" fillId="2" borderId="0" xfId="0" applyFill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5" fillId="3" borderId="0" xfId="0" applyFont="1" applyFill="1"/>
    <xf numFmtId="3" fontId="6" fillId="0" borderId="0" xfId="0" applyNumberFormat="1" applyFont="1"/>
    <xf numFmtId="0" fontId="7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3" fontId="8" fillId="6" borderId="0" xfId="0" applyNumberFormat="1" applyFont="1" applyFill="1"/>
    <xf numFmtId="0" fontId="0" fillId="0" borderId="0" xfId="0" applyAlignment="1">
      <alignment horizontal="center"/>
    </xf>
    <xf numFmtId="166" fontId="0" fillId="0" borderId="0" xfId="0" applyNumberFormat="1"/>
    <xf numFmtId="0" fontId="9" fillId="0" borderId="0" xfId="0" applyFont="1"/>
    <xf numFmtId="0" fontId="6" fillId="0" borderId="0" xfId="0" applyFont="1" applyAlignment="1">
      <alignment horizontal="center"/>
    </xf>
    <xf numFmtId="3" fontId="8" fillId="7" borderId="0" xfId="0" applyNumberFormat="1" applyFont="1" applyFill="1"/>
    <xf numFmtId="165" fontId="10" fillId="7" borderId="0" xfId="0" applyNumberFormat="1" applyFont="1" applyFill="1"/>
    <xf numFmtId="164" fontId="9" fillId="0" borderId="0" xfId="0" applyNumberFormat="1" applyFont="1"/>
    <xf numFmtId="0" fontId="11" fillId="0" borderId="0" xfId="0" applyFont="1"/>
    <xf numFmtId="3" fontId="13" fillId="0" borderId="0" xfId="0" applyNumberFormat="1" applyFont="1"/>
    <xf numFmtId="164" fontId="14" fillId="0" borderId="0" xfId="0" applyNumberFormat="1" applyFont="1"/>
    <xf numFmtId="164" fontId="15" fillId="0" borderId="0" xfId="0" applyNumberFormat="1" applyFont="1"/>
    <xf numFmtId="3" fontId="6" fillId="0" borderId="1" xfId="0" applyNumberFormat="1" applyFont="1" applyBorder="1"/>
    <xf numFmtId="3" fontId="16" fillId="0" borderId="0" xfId="0" applyNumberFormat="1" applyFont="1"/>
    <xf numFmtId="9" fontId="0" fillId="0" borderId="0" xfId="1" applyFont="1"/>
    <xf numFmtId="9" fontId="15" fillId="0" borderId="0" xfId="1" applyFont="1"/>
    <xf numFmtId="4" fontId="14" fillId="0" borderId="0" xfId="0" applyNumberFormat="1" applyFont="1"/>
    <xf numFmtId="165" fontId="14" fillId="0" borderId="0" xfId="0" applyNumberFormat="1" applyFont="1"/>
    <xf numFmtId="3" fontId="14" fillId="0" borderId="0" xfId="0" applyNumberFormat="1" applyFont="1"/>
    <xf numFmtId="1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showGridLines="0" tabSelected="1" zoomScale="145" zoomScaleNormal="145" workbookViewId="0">
      <selection activeCell="C6" sqref="C6"/>
    </sheetView>
  </sheetViews>
  <sheetFormatPr defaultRowHeight="14.4" x14ac:dyDescent="0.3"/>
  <cols>
    <col min="1" max="1" width="30" customWidth="1"/>
    <col min="2" max="8" width="14" customWidth="1"/>
  </cols>
  <sheetData>
    <row r="1" spans="1:8" ht="21" x14ac:dyDescent="0.4">
      <c r="A1" s="1" t="s">
        <v>0</v>
      </c>
    </row>
    <row r="2" spans="1:8" ht="18" x14ac:dyDescent="0.35">
      <c r="A2" s="2" t="s">
        <v>58</v>
      </c>
    </row>
    <row r="3" spans="1:8" x14ac:dyDescent="0.3">
      <c r="A3" s="3" t="s">
        <v>1</v>
      </c>
    </row>
    <row r="5" spans="1:8" x14ac:dyDescent="0.3">
      <c r="A5" s="4" t="s">
        <v>2</v>
      </c>
      <c r="B5" s="5"/>
      <c r="C5" s="5"/>
      <c r="D5" s="5"/>
      <c r="E5" s="5"/>
      <c r="F5" s="5"/>
      <c r="G5" s="5"/>
      <c r="H5" s="5"/>
    </row>
    <row r="6" spans="1:8" x14ac:dyDescent="0.3">
      <c r="A6" t="s">
        <v>3</v>
      </c>
      <c r="B6" s="24">
        <v>7.7600000000000002E-2</v>
      </c>
      <c r="D6" s="22" t="s">
        <v>54</v>
      </c>
    </row>
    <row r="7" spans="1:8" x14ac:dyDescent="0.3">
      <c r="A7" t="s">
        <v>4</v>
      </c>
      <c r="B7" s="24">
        <v>0.03</v>
      </c>
      <c r="D7" t="s">
        <v>61</v>
      </c>
    </row>
    <row r="8" spans="1:8" x14ac:dyDescent="0.3">
      <c r="A8" t="s">
        <v>5</v>
      </c>
      <c r="B8" s="30">
        <v>7</v>
      </c>
      <c r="D8" t="s">
        <v>55</v>
      </c>
    </row>
    <row r="9" spans="1:8" x14ac:dyDescent="0.3">
      <c r="A9" t="s">
        <v>6</v>
      </c>
      <c r="B9" s="31">
        <v>2.38</v>
      </c>
      <c r="D9" t="s">
        <v>62</v>
      </c>
    </row>
    <row r="10" spans="1:8" x14ac:dyDescent="0.3">
      <c r="A10" t="s">
        <v>7</v>
      </c>
      <c r="B10" s="32">
        <v>28996</v>
      </c>
      <c r="D10" t="s">
        <v>59</v>
      </c>
    </row>
    <row r="11" spans="1:8" x14ac:dyDescent="0.3">
      <c r="D11" t="s">
        <v>60</v>
      </c>
    </row>
    <row r="12" spans="1:8" x14ac:dyDescent="0.3">
      <c r="A12" s="9" t="s">
        <v>8</v>
      </c>
    </row>
    <row r="13" spans="1:8" x14ac:dyDescent="0.3">
      <c r="A13" t="s">
        <v>9</v>
      </c>
      <c r="B13" s="32">
        <v>24310</v>
      </c>
    </row>
    <row r="14" spans="1:8" x14ac:dyDescent="0.3">
      <c r="A14" t="s">
        <v>10</v>
      </c>
      <c r="B14" s="32">
        <v>310559</v>
      </c>
    </row>
    <row r="15" spans="1:8" x14ac:dyDescent="0.3">
      <c r="A15" t="s">
        <v>11</v>
      </c>
      <c r="B15" s="26">
        <f>B14-B13</f>
        <v>286249</v>
      </c>
      <c r="C15" s="8"/>
    </row>
    <row r="16" spans="1:8" x14ac:dyDescent="0.3">
      <c r="A16" t="s">
        <v>64</v>
      </c>
      <c r="B16" s="32">
        <v>613481</v>
      </c>
    </row>
    <row r="18" spans="1:8" x14ac:dyDescent="0.3">
      <c r="A18" s="4" t="s">
        <v>12</v>
      </c>
      <c r="B18" s="5"/>
      <c r="C18" s="5"/>
      <c r="D18" s="5"/>
      <c r="E18" s="5"/>
      <c r="F18" s="5"/>
      <c r="G18" s="5"/>
      <c r="H18" s="5"/>
    </row>
    <row r="19" spans="1:8" x14ac:dyDescent="0.3">
      <c r="B19" s="11" t="s">
        <v>13</v>
      </c>
      <c r="C19" s="11" t="s">
        <v>14</v>
      </c>
      <c r="D19" s="11" t="s">
        <v>14</v>
      </c>
      <c r="E19" s="11" t="s">
        <v>14</v>
      </c>
      <c r="F19" s="11" t="s">
        <v>14</v>
      </c>
      <c r="G19" s="11" t="s">
        <v>14</v>
      </c>
      <c r="H19" t="s">
        <v>15</v>
      </c>
    </row>
    <row r="20" spans="1:8" x14ac:dyDescent="0.3">
      <c r="B20" s="12">
        <v>2024</v>
      </c>
      <c r="C20" s="13">
        <v>2025</v>
      </c>
      <c r="D20" s="13">
        <v>2026</v>
      </c>
      <c r="E20" s="13">
        <v>2027</v>
      </c>
      <c r="F20" s="13">
        <v>2028</v>
      </c>
      <c r="G20" s="13">
        <v>2029</v>
      </c>
    </row>
    <row r="21" spans="1:8" x14ac:dyDescent="0.3">
      <c r="A21" t="s">
        <v>16</v>
      </c>
      <c r="B21" s="10">
        <v>299972</v>
      </c>
      <c r="C21" s="23">
        <v>365000</v>
      </c>
      <c r="D21" s="23">
        <v>450160</v>
      </c>
      <c r="E21" s="23">
        <v>529710</v>
      </c>
      <c r="F21" s="23">
        <v>572210</v>
      </c>
      <c r="G21" s="23">
        <v>595590</v>
      </c>
    </row>
    <row r="22" spans="1:8" x14ac:dyDescent="0.3">
      <c r="A22" t="s">
        <v>17</v>
      </c>
      <c r="B22" s="6">
        <v>0.17100000000000001</v>
      </c>
      <c r="C22" s="6">
        <f>C21/B21-1</f>
        <v>0.21678023282173009</v>
      </c>
      <c r="D22" s="6">
        <f>D21/C21-1</f>
        <v>0.23331506849315065</v>
      </c>
      <c r="E22" s="6">
        <f>E21/D21-1</f>
        <v>0.17671494579704983</v>
      </c>
      <c r="F22" s="6">
        <f>F21/E21-1</f>
        <v>8.02325800909931E-2</v>
      </c>
      <c r="G22" s="6">
        <f>G21/F21-1</f>
        <v>4.0859125146362363E-2</v>
      </c>
    </row>
    <row r="24" spans="1:8" x14ac:dyDescent="0.3">
      <c r="A24" t="s">
        <v>18</v>
      </c>
      <c r="B24" s="10">
        <v>90005</v>
      </c>
      <c r="C24" s="23">
        <v>100000</v>
      </c>
      <c r="D24" s="27">
        <f>D21*D25</f>
        <v>126044.80000000002</v>
      </c>
      <c r="E24" s="27">
        <f>E21*E25</f>
        <v>158913</v>
      </c>
      <c r="F24" s="27">
        <f ca="1">F21*F25</f>
        <v>189000</v>
      </c>
      <c r="G24" s="27">
        <f>G21*G25</f>
        <v>208456.5</v>
      </c>
      <c r="H24" t="s">
        <v>19</v>
      </c>
    </row>
    <row r="25" spans="1:8" x14ac:dyDescent="0.3">
      <c r="A25" t="s">
        <v>20</v>
      </c>
      <c r="B25" s="6">
        <f t="shared" ref="B25:F25" si="0">B24/B21</f>
        <v>0.30004467083594472</v>
      </c>
      <c r="C25" s="6">
        <f t="shared" si="0"/>
        <v>0.27397260273972601</v>
      </c>
      <c r="D25" s="25">
        <v>0.28000000000000003</v>
      </c>
      <c r="E25" s="25">
        <v>0.3</v>
      </c>
      <c r="F25" s="25">
        <f t="shared" ca="1" si="0"/>
        <v>0.33029831705143214</v>
      </c>
      <c r="G25" s="25">
        <v>0.35</v>
      </c>
    </row>
    <row r="27" spans="1:8" x14ac:dyDescent="0.3">
      <c r="A27" t="s">
        <v>21</v>
      </c>
      <c r="B27" s="8">
        <v>17885</v>
      </c>
      <c r="C27" s="8">
        <f>C21*C28</f>
        <v>21900</v>
      </c>
      <c r="D27" s="8">
        <f t="shared" ref="D27:G27" si="1">D21*D28</f>
        <v>27009.599999999999</v>
      </c>
      <c r="E27" s="8">
        <f t="shared" si="1"/>
        <v>26485.5</v>
      </c>
      <c r="F27" s="8">
        <f t="shared" si="1"/>
        <v>28610.5</v>
      </c>
      <c r="G27" s="8">
        <f t="shared" si="1"/>
        <v>29779.5</v>
      </c>
      <c r="H27" t="s">
        <v>57</v>
      </c>
    </row>
    <row r="28" spans="1:8" x14ac:dyDescent="0.3">
      <c r="B28" s="28">
        <f>B27/B21</f>
        <v>5.9622231408264774E-2</v>
      </c>
      <c r="C28" s="29">
        <v>0.06</v>
      </c>
      <c r="D28" s="29">
        <v>0.06</v>
      </c>
      <c r="E28" s="29">
        <v>0.05</v>
      </c>
      <c r="F28" s="29">
        <v>0.05</v>
      </c>
      <c r="G28" s="29">
        <v>0.05</v>
      </c>
    </row>
    <row r="29" spans="1:8" x14ac:dyDescent="0.3">
      <c r="A29" t="s">
        <v>22</v>
      </c>
      <c r="B29" s="10">
        <f t="shared" ref="B29:G29" si="2">B24-B27</f>
        <v>72120</v>
      </c>
      <c r="C29" s="10">
        <f t="shared" si="2"/>
        <v>78100</v>
      </c>
      <c r="D29" s="10">
        <f t="shared" si="2"/>
        <v>99035.200000000012</v>
      </c>
      <c r="E29" s="10">
        <f t="shared" si="2"/>
        <v>132427.5</v>
      </c>
      <c r="F29" s="10">
        <f t="shared" ca="1" si="2"/>
        <v>160389.5</v>
      </c>
      <c r="G29" s="10">
        <f t="shared" si="2"/>
        <v>178677</v>
      </c>
    </row>
    <row r="31" spans="1:8" x14ac:dyDescent="0.3">
      <c r="A31" t="s">
        <v>23</v>
      </c>
      <c r="B31" s="6">
        <v>0</v>
      </c>
      <c r="C31" s="25">
        <v>0</v>
      </c>
      <c r="D31" s="25">
        <v>0</v>
      </c>
      <c r="E31" s="25">
        <v>0</v>
      </c>
      <c r="F31" s="25">
        <v>0.1</v>
      </c>
      <c r="G31" s="25">
        <v>0.25</v>
      </c>
      <c r="H31" t="s">
        <v>24</v>
      </c>
    </row>
    <row r="32" spans="1:8" x14ac:dyDescent="0.3">
      <c r="A32" t="s">
        <v>25</v>
      </c>
      <c r="B32" s="8">
        <f t="shared" ref="B32:G32" si="3">B29*B31</f>
        <v>0</v>
      </c>
      <c r="C32" s="8">
        <f t="shared" si="3"/>
        <v>0</v>
      </c>
      <c r="D32" s="8">
        <f t="shared" si="3"/>
        <v>0</v>
      </c>
      <c r="E32" s="8">
        <f t="shared" si="3"/>
        <v>0</v>
      </c>
      <c r="F32" s="8">
        <f t="shared" ca="1" si="3"/>
        <v>16038.95</v>
      </c>
      <c r="G32" s="8">
        <f t="shared" si="3"/>
        <v>44669.25</v>
      </c>
    </row>
    <row r="33" spans="1:8" x14ac:dyDescent="0.3">
      <c r="A33" t="s">
        <v>26</v>
      </c>
      <c r="B33" s="10">
        <f t="shared" ref="B33:G33" si="4">B29-B32</f>
        <v>72120</v>
      </c>
      <c r="C33" s="10">
        <f t="shared" si="4"/>
        <v>78100</v>
      </c>
      <c r="D33" s="10">
        <f t="shared" si="4"/>
        <v>99035.200000000012</v>
      </c>
      <c r="E33" s="10">
        <f t="shared" si="4"/>
        <v>132427.5</v>
      </c>
      <c r="F33" s="10">
        <f t="shared" ca="1" si="4"/>
        <v>144350.54999999999</v>
      </c>
      <c r="G33" s="10">
        <f t="shared" si="4"/>
        <v>134007.75</v>
      </c>
    </row>
    <row r="35" spans="1:8" x14ac:dyDescent="0.3">
      <c r="A35" t="s">
        <v>27</v>
      </c>
      <c r="B35" s="8">
        <f t="shared" ref="B35:G35" si="5">B27</f>
        <v>17885</v>
      </c>
      <c r="C35" s="8">
        <f t="shared" si="5"/>
        <v>21900</v>
      </c>
      <c r="D35" s="8">
        <f t="shared" si="5"/>
        <v>27009.599999999999</v>
      </c>
      <c r="E35" s="8">
        <f t="shared" si="5"/>
        <v>26485.5</v>
      </c>
      <c r="F35" s="8">
        <f t="shared" si="5"/>
        <v>28610.5</v>
      </c>
      <c r="G35" s="8">
        <f t="shared" si="5"/>
        <v>29779.5</v>
      </c>
    </row>
    <row r="36" spans="1:8" x14ac:dyDescent="0.3">
      <c r="A36" t="s">
        <v>28</v>
      </c>
      <c r="B36" s="8">
        <v>-127239</v>
      </c>
      <c r="C36" s="8">
        <f>-C21*C37</f>
        <v>-127749.99999999999</v>
      </c>
      <c r="D36" s="8">
        <f t="shared" ref="D36:G36" si="6">-D21*D37</f>
        <v>-157556</v>
      </c>
      <c r="E36" s="8">
        <f t="shared" si="6"/>
        <v>-132427.5</v>
      </c>
      <c r="F36" s="8">
        <f t="shared" si="6"/>
        <v>-114442</v>
      </c>
      <c r="G36" s="8">
        <f t="shared" si="6"/>
        <v>-119118</v>
      </c>
      <c r="H36" t="s">
        <v>56</v>
      </c>
    </row>
    <row r="37" spans="1:8" x14ac:dyDescent="0.3">
      <c r="A37" t="s">
        <v>29</v>
      </c>
      <c r="B37" s="6">
        <f>-B36/B21</f>
        <v>0.42416958916165509</v>
      </c>
      <c r="C37" s="24">
        <v>0.35</v>
      </c>
      <c r="D37" s="24">
        <v>0.35</v>
      </c>
      <c r="E37" s="24">
        <v>0.25</v>
      </c>
      <c r="F37" s="24">
        <v>0.2</v>
      </c>
      <c r="G37" s="24">
        <v>0.2</v>
      </c>
    </row>
    <row r="38" spans="1:8" x14ac:dyDescent="0.3">
      <c r="A38" t="s">
        <v>30</v>
      </c>
      <c r="B38" s="8">
        <v>-38612</v>
      </c>
      <c r="C38" s="8">
        <f>C21*C39</f>
        <v>-47450</v>
      </c>
      <c r="D38" s="8">
        <f t="shared" ref="D38:G38" si="7">D21*D39</f>
        <v>-58520.800000000003</v>
      </c>
      <c r="E38" s="8">
        <f t="shared" si="7"/>
        <v>-68862.3</v>
      </c>
      <c r="F38" s="8">
        <f t="shared" si="7"/>
        <v>-68665.2</v>
      </c>
      <c r="G38" s="8">
        <f t="shared" si="7"/>
        <v>-71470.8</v>
      </c>
      <c r="H38" t="s">
        <v>31</v>
      </c>
    </row>
    <row r="39" spans="1:8" x14ac:dyDescent="0.3">
      <c r="B39" s="8"/>
      <c r="C39" s="24">
        <v>-0.13</v>
      </c>
      <c r="D39" s="24">
        <v>-0.13</v>
      </c>
      <c r="E39" s="24">
        <v>-0.13</v>
      </c>
      <c r="F39" s="24">
        <v>-0.12</v>
      </c>
      <c r="G39" s="24">
        <v>-0.12</v>
      </c>
    </row>
    <row r="40" spans="1:8" x14ac:dyDescent="0.3">
      <c r="A40" t="s">
        <v>32</v>
      </c>
      <c r="C40" s="8">
        <f>-(C38-B38)</f>
        <v>8838</v>
      </c>
      <c r="D40" s="8">
        <f>-(D38-C38)</f>
        <v>11070.800000000003</v>
      </c>
      <c r="E40" s="8">
        <f>-(E38-D38)</f>
        <v>10341.5</v>
      </c>
      <c r="F40" s="8">
        <f>-(F38-E38)</f>
        <v>-197.10000000000582</v>
      </c>
      <c r="G40" s="8">
        <f>-(G38-F38)</f>
        <v>2805.6000000000058</v>
      </c>
    </row>
    <row r="41" spans="1:8" x14ac:dyDescent="0.3">
      <c r="C41" s="33"/>
      <c r="D41" s="33"/>
      <c r="E41" s="33"/>
      <c r="F41" s="33"/>
      <c r="G41" s="33"/>
    </row>
    <row r="42" spans="1:8" x14ac:dyDescent="0.3">
      <c r="A42" t="s">
        <v>33</v>
      </c>
      <c r="C42" s="14">
        <f>C33+C27+C36+C40</f>
        <v>-18911.999999999985</v>
      </c>
      <c r="D42" s="14">
        <f>D33+D27+D36+D40</f>
        <v>-20440.39999999998</v>
      </c>
      <c r="E42" s="14">
        <f>E33+E27+E36+E40</f>
        <v>36827</v>
      </c>
      <c r="F42" s="14">
        <f ca="1">F33+F27+F36+F40</f>
        <v>58321.949999999983</v>
      </c>
      <c r="G42" s="14">
        <f>G33+G27+G36+G40</f>
        <v>47474.850000000006</v>
      </c>
    </row>
    <row r="43" spans="1:8" x14ac:dyDescent="0.3">
      <c r="A43" t="s">
        <v>34</v>
      </c>
      <c r="C43" s="15">
        <v>1</v>
      </c>
      <c r="D43" s="15">
        <v>2</v>
      </c>
      <c r="E43" s="15">
        <v>3</v>
      </c>
      <c r="F43" s="15">
        <v>4</v>
      </c>
      <c r="G43" s="15">
        <v>5</v>
      </c>
    </row>
    <row r="44" spans="1:8" x14ac:dyDescent="0.3">
      <c r="A44" t="s">
        <v>35</v>
      </c>
      <c r="C44" s="16">
        <f>1/(1+$B$6)^C43</f>
        <v>0.92798812175204171</v>
      </c>
      <c r="D44" s="16">
        <f>1/(1+$B$6)^D43</f>
        <v>0.86116195411288221</v>
      </c>
      <c r="E44" s="16">
        <f>1/(1+$B$6)^E43</f>
        <v>0.7991480643215314</v>
      </c>
      <c r="F44" s="16">
        <f>1/(1+$B$6)^F43</f>
        <v>0.7415999112115178</v>
      </c>
      <c r="G44" s="16">
        <f>1/(1+$B$6)^G43</f>
        <v>0.68819590869665725</v>
      </c>
    </row>
    <row r="45" spans="1:8" x14ac:dyDescent="0.3">
      <c r="A45" t="s">
        <v>36</v>
      </c>
      <c r="C45" s="8">
        <f>C42*C44</f>
        <v>-17550.111358574599</v>
      </c>
      <c r="D45" s="8">
        <f>D42*D44</f>
        <v>-17602.494806848939</v>
      </c>
      <c r="E45" s="8">
        <f>E42*E44</f>
        <v>29430.225764769039</v>
      </c>
      <c r="F45" s="8">
        <f ca="1">F42*F44</f>
        <v>43251.552941682567</v>
      </c>
      <c r="G45" s="8">
        <f>G42*G44</f>
        <v>32671.997535987502</v>
      </c>
    </row>
    <row r="47" spans="1:8" x14ac:dyDescent="0.3">
      <c r="A47" t="s">
        <v>37</v>
      </c>
      <c r="B47" s="10">
        <f ca="1">SUM(C45:G45)</f>
        <v>70201.170077015558</v>
      </c>
    </row>
    <row r="49" spans="1:4" x14ac:dyDescent="0.3">
      <c r="A49" s="4" t="s">
        <v>38</v>
      </c>
      <c r="B49" s="5"/>
      <c r="C49" s="5"/>
      <c r="D49" s="5"/>
    </row>
    <row r="51" spans="1:4" x14ac:dyDescent="0.3">
      <c r="A51" s="17" t="s">
        <v>39</v>
      </c>
    </row>
    <row r="52" spans="1:4" x14ac:dyDescent="0.3">
      <c r="A52" t="s">
        <v>40</v>
      </c>
      <c r="B52" s="8">
        <f>G42</f>
        <v>47474.850000000006</v>
      </c>
    </row>
    <row r="53" spans="1:4" x14ac:dyDescent="0.3">
      <c r="A53" t="s">
        <v>41</v>
      </c>
      <c r="B53" s="8">
        <f>B52*(1+$B$7)</f>
        <v>48899.09550000001</v>
      </c>
    </row>
    <row r="54" spans="1:4" x14ac:dyDescent="0.3">
      <c r="A54" t="s">
        <v>42</v>
      </c>
      <c r="B54" s="10">
        <f>B53/($B$6-$B$7)</f>
        <v>1027291.9222689077</v>
      </c>
    </row>
    <row r="55" spans="1:4" x14ac:dyDescent="0.3">
      <c r="A55" t="s">
        <v>43</v>
      </c>
      <c r="B55" s="10">
        <f>B54*G44</f>
        <v>706978.09794258664</v>
      </c>
    </row>
    <row r="57" spans="1:4" x14ac:dyDescent="0.3">
      <c r="A57" s="17" t="s">
        <v>44</v>
      </c>
    </row>
    <row r="58" spans="1:4" x14ac:dyDescent="0.3">
      <c r="A58" t="s">
        <v>45</v>
      </c>
      <c r="B58" s="8">
        <f>G24</f>
        <v>208456.5</v>
      </c>
    </row>
    <row r="59" spans="1:4" x14ac:dyDescent="0.3">
      <c r="A59" t="s">
        <v>42</v>
      </c>
      <c r="B59" s="10">
        <f>B58*$B$8</f>
        <v>1459195.5</v>
      </c>
    </row>
    <row r="60" spans="1:4" x14ac:dyDescent="0.3">
      <c r="A60" t="s">
        <v>43</v>
      </c>
      <c r="B60" s="10">
        <f>B59*G44</f>
        <v>1004212.3730885731</v>
      </c>
    </row>
    <row r="63" spans="1:4" x14ac:dyDescent="0.3">
      <c r="A63" s="4" t="s">
        <v>46</v>
      </c>
      <c r="B63" s="5"/>
      <c r="C63" s="5"/>
      <c r="D63" s="5"/>
    </row>
    <row r="64" spans="1:4" x14ac:dyDescent="0.3">
      <c r="B64" s="18" t="s">
        <v>47</v>
      </c>
      <c r="C64" s="18" t="s">
        <v>48</v>
      </c>
    </row>
    <row r="65" spans="1:3" x14ac:dyDescent="0.3">
      <c r="A65" t="s">
        <v>49</v>
      </c>
      <c r="B65" s="10">
        <f ca="1">B47+B55</f>
        <v>777179.26801960217</v>
      </c>
      <c r="C65" s="10">
        <f ca="1">B47+B60</f>
        <v>1074413.5431655888</v>
      </c>
    </row>
    <row r="66" spans="1:3" x14ac:dyDescent="0.3">
      <c r="A66" t="s">
        <v>50</v>
      </c>
      <c r="B66" s="8">
        <f>-$B$15</f>
        <v>-286249</v>
      </c>
      <c r="C66" s="8">
        <f>-$B$15</f>
        <v>-286249</v>
      </c>
    </row>
    <row r="67" spans="1:3" x14ac:dyDescent="0.3">
      <c r="A67" t="s">
        <v>63</v>
      </c>
      <c r="B67" s="8">
        <f>-$B$16</f>
        <v>-613481</v>
      </c>
      <c r="C67" s="8">
        <f>-$B$16</f>
        <v>-613481</v>
      </c>
    </row>
    <row r="68" spans="1:3" x14ac:dyDescent="0.3">
      <c r="A68" t="s">
        <v>51</v>
      </c>
      <c r="B68" s="19">
        <f ca="1">SUM(B65:B67)</f>
        <v>-122550.73198039783</v>
      </c>
      <c r="C68" s="19">
        <f ca="1">SUM(C65:C67)</f>
        <v>174683.54316558875</v>
      </c>
    </row>
    <row r="69" spans="1:3" x14ac:dyDescent="0.3">
      <c r="A69" t="s">
        <v>7</v>
      </c>
      <c r="B69" s="8">
        <f>$B$10</f>
        <v>28996</v>
      </c>
      <c r="C69" s="8">
        <f>$B$10</f>
        <v>28996</v>
      </c>
    </row>
    <row r="70" spans="1:3" ht="15.6" x14ac:dyDescent="0.3">
      <c r="A70" t="s">
        <v>52</v>
      </c>
      <c r="B70" s="20">
        <f ca="1">B68/B69</f>
        <v>-4.2264702710855921</v>
      </c>
      <c r="C70" s="20">
        <f ca="1">C68/C69</f>
        <v>6.0244014059038751</v>
      </c>
    </row>
    <row r="71" spans="1:3" x14ac:dyDescent="0.3">
      <c r="A71" t="s">
        <v>6</v>
      </c>
      <c r="B71" s="7">
        <f>$B$9</f>
        <v>2.38</v>
      </c>
      <c r="C71" s="7">
        <f t="shared" ref="C71" si="8">$B$9</f>
        <v>2.38</v>
      </c>
    </row>
    <row r="72" spans="1:3" x14ac:dyDescent="0.3">
      <c r="A72" t="s">
        <v>53</v>
      </c>
      <c r="B72" s="21">
        <f ca="1">B70/B71-1</f>
        <v>-2.7758278449939464</v>
      </c>
      <c r="C72" s="21">
        <f ca="1">C70/C71-1</f>
        <v>1.5312610949175949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DCF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Mike Johnson</cp:lastModifiedBy>
  <dcterms:created xsi:type="dcterms:W3CDTF">2025-11-16T21:26:03Z</dcterms:created>
  <dcterms:modified xsi:type="dcterms:W3CDTF">2025-11-18T00:40:26Z</dcterms:modified>
</cp:coreProperties>
</file>